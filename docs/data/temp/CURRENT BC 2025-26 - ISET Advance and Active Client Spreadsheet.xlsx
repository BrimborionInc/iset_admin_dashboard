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xl/sharedStrings.xml" ContentType="application/vnd.openxmlformats-officedocument.spreadsheetml.sharedStrings+xml"/>
  <Override PartName="/xl/persons/person.xml" ContentType="application/vnd.ms-excel.perso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threadedComments/threadedComment1.xml" ContentType="application/vnd.ms-excel.threadedcomment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otal Amount Funded" sheetId="1" state="visible" r:id="rId5"/>
    <sheet name="Advances (Locked TAB)" sheetId="2" state="visible" r:id="rId6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tc={0C259E95-051D-4A42-AF23-8FDB62CF5310}</author>
    <author>tc={395F10CB-54EB-4F14-AC58-EE89FFA41A24}</author>
    <author>tc={B4E46D7B-4892-44FC-A168-2F734D70F5FB}</author>
    <author>tc={D8FAD01B-601D-4989-A28A-02D171A23CC9}</author>
    <author>tc={2DFE896A-5BD8-96F2-DC02-10D4F0D0785D}</author>
    <author>tc={98EBADE9-708C-4602-BE62-6E4E9C24048E}</author>
    <author>tc={C87F1B4E-9DFC-4BDF-B6CC-4AD1C46E379B}</author>
    <author>tc={133C00E9-23E9-4E8B-B5B6-52C5095A85C2}</author>
    <author>tc={288CE097-087C-E031-CC62-BD58B7450FEB}</author>
    <author>tc={5B6D8042-7C8F-0D54-1E30-10C9AF7AF49C}</author>
    <author>tc={209E22DD-80CE-7941-3060-4D5C3D54F99F}</author>
    <author>tc={004900A9-0074-4AF1-B171-001300F700AB}</author>
    <author>tc={BDB7F58A-A75A-47D1-9764-CAFDECE45097}</author>
    <author>tc={003D005F-006A-4BFB-9CED-004500970078}</author>
    <author>tc={71A1E586-6B98-4742-8F36-F759624EE30B}</author>
    <author>tc={9F392E31-E493-4F04-95E3-D33909B10F75}</author>
    <author>tc={314FDC70-1378-1798-4F55-BF51FD6C9021}</author>
    <author>tc={0EBC7430-4D2B-23A4-12A3-CF2BC8853816}</author>
    <author>tc={F277CA8D-1186-4B95-8097-927744A0D0A3}</author>
    <author>tc={00B10077-00B1-41AF-8BFC-00E100830081}</author>
    <author>tc={01EF4077-3E8B-4202-A9BF-08814D76F395}</author>
    <author>tc={E7B4283B-8F2D-4535-9340-07EE405FF2A4}</author>
    <author>tc={2D5FEF08-46C3-4E54-9731-78F1BFCEC192}</author>
    <author>tc={C6C2D90E-860D-4940-80C8-1A10D751E16C}</author>
    <author>tc={CDD25668-A449-4619-B976-F422A4658D4D}</author>
    <author>tc={8008DDD3-2C10-A9F7-A22E-11486BA8508D}</author>
    <author>tc={8161CBE8-058A-4A5D-BD52-F223D0B31B65}</author>
    <author>tc={A36D8DB9-296A-455B-996E-57836ACB26EC}</author>
    <author>tc={7D28DA1D-BC90-42D8-83ED-ABA8E2F1F1CC}</author>
    <author>tc={7CB9BCB5-5A0D-8881-7AFA-866BCE5E223D}</author>
    <author>tc={9C55E438-786F-A297-A1F8-514F7A92208D}</author>
  </authors>
  <commentList>
    <comment ref="K12" authorId="0" xr:uid="{0C259E95-051D-4A42-AF23-8FDB62CF5310}">
      <text>
        <r>
          <rPr>
            <b/>
            <sz val="9"/>
            <rFont val="Tahoma"/>
          </rPr>
          <t xml:space="preserve">Luanne Kuzma:</t>
        </r>
        <r>
          <rPr>
            <sz val="9"/>
            <rFont val="Tahoma"/>
          </rPr>
          <t xml:space="preserve">
Graduation Fee
</t>
        </r>
      </text>
    </comment>
    <comment ref="H12" authorId="1" xr:uid="{395F10CB-54EB-4F14-AC58-EE89FFA41A24}">
      <text>
        <r>
          <rPr>
            <b/>
            <sz val="9"/>
            <rFont val="Tahoma"/>
          </rPr>
          <t xml:space="preserve">Luanne Kuzma:</t>
        </r>
        <r>
          <rPr>
            <sz val="9"/>
            <rFont val="Tahoma"/>
          </rPr>
          <t xml:space="preserve">
MDRT 1201 (Theory) $2,817.79
MDRT 1211 (Clinical) $8,047.51
</t>
        </r>
      </text>
    </comment>
    <comment ref="I12" authorId="2" xr:uid="{B4E46D7B-4892-44FC-A168-2F734D70F5FB}">
      <text>
        <r>
          <rPr>
            <b/>
            <sz val="9"/>
            <rFont val="Tahoma"/>
          </rPr>
          <t xml:space="preserve">Luanne Kuzma:</t>
        </r>
        <r>
          <rPr>
            <sz val="9"/>
            <rFont val="Tahoma"/>
          </rPr>
          <t xml:space="preserve">
Reimbursement with receipt
</t>
        </r>
        <r>
          <rPr>
            <b/>
            <sz val="9"/>
            <rFont val="Tahoma"/>
          </rPr>
          <t xml:space="preserve">Luanne Kuzma:</t>
        </r>
        <r>
          <rPr>
            <sz val="9"/>
            <rFont val="Tahoma"/>
          </rPr>
          <t xml:space="preserve">
$100 for books
</t>
        </r>
        <r>
          <rPr>
            <b/>
            <sz val="9"/>
            <rFont val="Tahoma"/>
          </rPr>
          <t xml:space="preserve">Luanne Kuzma:</t>
        </r>
        <r>
          <rPr>
            <sz val="9"/>
            <rFont val="Tahoma"/>
          </rPr>
          <t xml:space="preserve">
$80 for white hospital shoes
</t>
        </r>
      </text>
    </comment>
    <comment ref="J13" authorId="3" xr:uid="{D8FAD01B-601D-4989-A28A-02D171A23CC9}">
      <text>
        <r>
          <rPr>
            <b/>
            <sz val="9"/>
            <rFont val="Tahoma"/>
          </rPr>
          <t xml:space="preserve">Luanne Kuzma:</t>
        </r>
        <r>
          <rPr>
            <sz val="9"/>
            <rFont val="Tahoma"/>
          </rPr>
          <t xml:space="preserve">
January $1100.00
February $110.00
March $1100.00
April $1100.00
</t>
        </r>
        <r>
          <rPr>
            <b/>
            <sz val="9"/>
            <rFont val="Tahoma"/>
          </rPr>
          <t xml:space="preserve">Luanne Kuzma:</t>
        </r>
        <r>
          <rPr>
            <sz val="9"/>
            <rFont val="Tahoma"/>
          </rPr>
          <t xml:space="preserve">
Living Allowance Payments Made:
Payments expected in current fiscal year: Jan 2026 &amp; Feb 2026 $1,100.00; Total $2,200.00
Expected Carry Over:
March 2026 $1,100.00
April 2026 $1,100.00
Total:$2,200.00
</t>
        </r>
      </text>
    </comment>
    <comment ref="K15" authorId="4" xr:uid="{2DFE896A-5BD8-96F2-DC02-10D4F0D0785D}">
      <text>
        <r>
          <rPr>
            <b/>
            <sz val="9"/>
            <rFont val="Tahoma"/>
          </rPr>
          <t xml:space="preserve">Amanda Curtis:</t>
        </r>
        <r>
          <rPr>
            <sz val="9"/>
            <rFont val="Tahoma"/>
          </rPr>
          <t xml:space="preserve">
$299.25: Brokerage Fees February 5, 2026
$1,000: Business Home Set up-February 5, 2026
$320.25: Brokerage Fees February 5, 2026
$307.27: Brokerage Fees February 5, 2026
$306.39: Brokerage Fees February 5, 2026
$278.25: Brokerage Fees March 2, 2026
Total: $2,511.41
</t>
        </r>
      </text>
    </comment>
    <comment ref="N15" authorId="5" xr:uid="{98EBADE9-708C-4602-BE62-6E4E9C24048E}">
      <text>
        <r>
          <rPr>
            <b/>
            <sz val="9"/>
            <rFont val="Tahoma"/>
          </rPr>
          <t xml:space="preserve">Luanne Kuzma:</t>
        </r>
        <r>
          <rPr>
            <sz val="9"/>
            <rFont val="Tahoma"/>
          </rPr>
          <t xml:space="preserve">
Home Office Set Up (Equipment)
Approved: $2,000.00
Advance: $1,000.00
</t>
        </r>
      </text>
    </comment>
    <comment ref="O15" authorId="6" xr:uid="{C87F1B4E-9DFC-4BDF-B6CC-4AD1C46E379B}">
      <text>
        <r>
          <rPr>
            <b/>
            <sz val="9"/>
            <rFont val="Tahoma"/>
          </rPr>
          <t xml:space="preserve">Luanne Kuzma:</t>
        </r>
        <r>
          <rPr>
            <sz val="9"/>
            <rFont val="Tahoma"/>
          </rPr>
          <t xml:space="preserve">
Living Allowance Approved: $2,000.00
Dec LA - $2,000.00 (Feb 5,26)
Jan LA - $2,000.00 (Feb 5, 26)
Expected Carry over: $1000.00
</t>
        </r>
        <r>
          <rPr>
            <b/>
            <sz val="9"/>
            <rFont val="Tahoma"/>
          </rPr>
          <t xml:space="preserve">Luanne Kuzma:</t>
        </r>
        <r>
          <rPr>
            <sz val="9"/>
            <rFont val="Tahoma"/>
          </rPr>
          <t xml:space="preserve">
Brokerage Fees Approved for : $4,800.00. Client received monthly invoice
Oct 2025 : $299.25
Nov 2025: $320.25
Dec 2025: $306.39
Jan 2026: $307.27
Expected Carry over: $4,566.54
</t>
        </r>
      </text>
    </comment>
    <comment ref="P15" authorId="7" xr:uid="{133C00E9-23E9-4E8B-B5B6-52C5095A85C2}">
      <text>
        <r>
          <rPr>
            <b/>
            <sz val="9"/>
            <rFont val="Tahoma"/>
          </rPr>
          <t xml:space="preserve">Luanne Kuzma:</t>
        </r>
        <r>
          <rPr>
            <sz val="9"/>
            <rFont val="Tahoma"/>
          </rPr>
          <t xml:space="preserve">
Brokerage Fees Approved:
$4800.00
</t>
        </r>
        <r>
          <rPr>
            <b/>
            <sz val="9"/>
            <rFont val="Tahoma"/>
          </rPr>
          <t xml:space="preserve">Luanne Kuzma:</t>
        </r>
        <r>
          <rPr>
            <sz val="9"/>
            <rFont val="Tahoma"/>
          </rPr>
          <t xml:space="preserve">
Living Allowance Payments:              July 2026 $2,000.00
August 2026 $2,000.00
September 2026 $2,000.00
October 2026 $2,000.00
November 2026 $2,000.00
December 2026 $2,000.00
Total: 24,000.00
Expected for Fiscal Year: $6,000.00
Expected Carry Over: $18,000.00
</t>
        </r>
      </text>
    </comment>
    <comment ref="K17" authorId="8" xr:uid="{288CE097-087C-E031-CC62-BD58B7450FEB}">
      <text>
        <r>
          <rPr>
            <b/>
            <sz val="9"/>
            <rFont val="Tahoma"/>
          </rPr>
          <t xml:space="preserve">Amanda Curtis:</t>
        </r>
        <r>
          <rPr>
            <sz val="9"/>
            <rFont val="Tahoma"/>
          </rPr>
          <t xml:space="preserve">
Parking Passes
$66.15 for Fall 2025: February 12, 2026
$66.15 for Winter 2026: February 12, 2026
Total: $132.30
Mileage
$ 67.20 for the month of Jan 2026: February 12, 2026
$ 60.48 for the month of Feb 2026 (ACTUAL 49.26) March 2, 2026
$ 60.48 for the month of March 2026
$  60.48 for the month of April 2026
</t>
        </r>
      </text>
    </comment>
    <comment ref="H17" authorId="9" xr:uid="{5B6D8042-7C8F-0D54-1E30-10C9AF7AF49C}">
      <text>
        <r>
          <rPr>
            <b/>
            <sz val="9"/>
            <rFont val="Tahoma"/>
          </rPr>
          <t xml:space="preserve">Amanda Curtis:</t>
        </r>
        <r>
          <rPr>
            <sz val="9"/>
            <rFont val="Tahoma"/>
          </rPr>
          <t xml:space="preserve">
February 12, 2026: $90.00 Program Costs Violence Prevention Program
</t>
        </r>
      </text>
    </comment>
    <comment ref="I17" authorId="10" xr:uid="{209E22DD-80CE-7941-3060-4D5C3D54F99F}">
      <text>
        <r>
          <rPr>
            <b/>
            <sz val="9"/>
            <rFont val="Tahoma"/>
          </rPr>
          <t xml:space="preserve">Amanda Curtis:</t>
        </r>
        <r>
          <rPr>
            <sz val="9"/>
            <rFont val="Tahoma"/>
          </rPr>
          <t xml:space="preserve">
February 12, 2026: $60.89 Book Fall Semester
</t>
        </r>
      </text>
    </comment>
    <comment ref="O29" authorId="11" xr:uid="{004900A9-0074-4AF1-B171-001300F700AB}">
      <text>
        <r>
          <rPr>
            <b/>
            <sz val="9"/>
            <rFont val="Tahoma"/>
          </rPr>
          <t xml:space="preserve">Luanne Kuzma:</t>
        </r>
        <r>
          <rPr>
            <sz val="9"/>
            <rFont val="Tahoma"/>
          </rPr>
          <t xml:space="preserve">
May-June'25: $1500.00/month
July-Oct'25: $2000.00/month
Nov-June: $3000.00/month
=$35,000.00
</t>
        </r>
        <r>
          <rPr>
            <b/>
            <sz val="9"/>
            <rFont val="Tahoma"/>
          </rPr>
          <t xml:space="preserve">Luanne Kuzma:</t>
        </r>
        <r>
          <rPr>
            <sz val="9"/>
            <rFont val="Tahoma"/>
          </rPr>
          <t xml:space="preserve">
Expected Remaining Payment for fiscal year: February:3,000.00
Expected Carry Over:
March 26-June 26: $3,000.00;Total: $12,000.00
</t>
        </r>
      </text>
    </comment>
    <comment ref="O30" authorId="12" xr:uid="{BDB7F58A-A75A-47D1-9764-CAFDECE45097}">
      <text>
        <r>
          <rPr>
            <b/>
            <sz val="9"/>
            <rFont val="Tahoma"/>
          </rPr>
          <t xml:space="preserve">Luanne Kuzma:</t>
        </r>
        <r>
          <rPr>
            <sz val="9"/>
            <rFont val="Tahoma"/>
          </rPr>
          <t xml:space="preserve">
Living Allowance:
Amended
November - April
$500 per month
</t>
        </r>
      </text>
    </comment>
    <comment ref="O33" authorId="13" xr:uid="{003D005F-006A-4BFB-9CED-004500970078}">
      <text>
        <r>
          <rPr>
            <b/>
            <sz val="9"/>
            <rFont val="Tahoma"/>
          </rPr>
          <t xml:space="preserve">Luanne Kuzma:</t>
        </r>
        <r>
          <rPr>
            <sz val="9"/>
            <rFont val="Tahoma"/>
          </rPr>
          <t xml:space="preserve">
$2000/month until April 2026
Expected Payments for Fiscal year: Sept-Feb Payments: $2,000.00; Total: $12,000.00
Expected Carry over:
March 2026 &amp; April 2026 Payments: $2,000.00; $4,000.00 total
</t>
        </r>
      </text>
    </comment>
    <comment ref="J33" authorId="14" xr:uid="{71A1E586-6B98-4742-8F36-F759624EE30B}">
      <text>
        <r>
          <rPr>
            <b/>
            <sz val="9"/>
            <rFont val="Tahoma"/>
          </rPr>
          <t xml:space="preserve">Luanne Kuzma:</t>
        </r>
        <r>
          <rPr>
            <sz val="9"/>
            <rFont val="Tahoma"/>
          </rPr>
          <t xml:space="preserve">
$2,000 per month
</t>
        </r>
      </text>
    </comment>
    <comment ref="O35" authorId="15" xr:uid="{9F392E31-E493-4F04-95E3-D33909B10F75}">
      <text>
        <r>
          <rPr>
            <b/>
            <sz val="9"/>
            <rFont val="Tahoma"/>
          </rPr>
          <t xml:space="preserve">Luanne Kuzma:</t>
        </r>
        <r>
          <rPr>
            <sz val="9"/>
            <rFont val="Tahoma"/>
          </rPr>
          <t xml:space="preserve">
Payments Made:
Sept-Jan: $1,200.00; total: $6,000.00
Remaining Expected for Fiscal Year:
February 2026 $1,200.00
Expected Carry Over: 
March 2026 &amp; April 2026: $1,200.00; Total: $2,400.00
</t>
        </r>
      </text>
    </comment>
    <comment ref="H35" authorId="16" xr:uid="{314FDC70-1378-1798-4F55-BF51FD6C9021}">
      <text>
        <r>
          <rPr>
            <b/>
            <sz val="9"/>
            <rFont val="Tahoma"/>
          </rPr>
          <t xml:space="preserve">Amanda Curtis:</t>
        </r>
        <r>
          <rPr>
            <sz val="9"/>
            <rFont val="Tahoma"/>
          </rPr>
          <t xml:space="preserve">
$1,269.42: February 11, 2026
$1,588.94: September 23, 2025
$1,943.57: September 26, 2025
</t>
        </r>
      </text>
    </comment>
    <comment ref="I35" authorId="17" xr:uid="{0EBC7430-4D2B-23A4-12A3-CF2BC8853816}">
      <text>
        <r>
          <rPr>
            <b/>
            <sz val="9"/>
            <rFont val="Tahoma"/>
          </rPr>
          <t xml:space="preserve">Amanda Curtis:</t>
        </r>
        <r>
          <rPr>
            <sz val="9"/>
            <rFont val="Tahoma"/>
          </rPr>
          <t xml:space="preserve">
$145: September 10, 2025
</t>
        </r>
      </text>
    </comment>
    <comment ref="J35" authorId="18" xr:uid="{F277CA8D-1186-4B95-8097-927744A0D0A3}">
      <text>
        <r>
          <rPr>
            <b/>
            <sz val="9"/>
            <rFont val="Tahoma"/>
          </rPr>
          <t xml:space="preserve">Amanda Curtis:</t>
        </r>
        <r>
          <rPr>
            <sz val="9"/>
            <rFont val="Tahoma"/>
          </rPr>
          <t xml:space="preserve">
$1,200: February 26, 2026
$1.200: February 11, 2026
$1,200: February 2, 2026
$1,200: October 1, 2025
$1,200: October 31, 2025
$1,200: December 1, 2025
</t>
        </r>
      </text>
    </comment>
    <comment ref="O37" authorId="19" xr:uid="{00B10077-00B1-41AF-8BFC-00E100830081}">
      <text>
        <r>
          <rPr>
            <b/>
            <sz val="9"/>
            <rFont val="Tahoma"/>
          </rPr>
          <t xml:space="preserve">Luanne Kuzma:</t>
        </r>
        <r>
          <rPr>
            <sz val="9"/>
            <rFont val="Tahoma"/>
          </rPr>
          <t xml:space="preserve">
$1200.00 per month
</t>
        </r>
      </text>
    </comment>
    <comment ref="K38" authorId="20" xr:uid="{01EF4077-3E8B-4202-A9BF-08814D76F395}">
      <text>
        <r>
          <rPr>
            <b/>
            <sz val="9"/>
            <rFont val="Tahoma"/>
          </rPr>
          <t xml:space="preserve">Emilie Marion:</t>
        </r>
        <r>
          <rPr>
            <sz val="9"/>
            <rFont val="Tahoma"/>
          </rPr>
          <t xml:space="preserve">
o	$864 for the month of November 2025 (ACTUAL $864)
o	anticipated $1,296 for the month of December 2025 (ACTUAL $883.20) 
o	anticipated $1,296 for the month of January 2026 (ACTUAL 1324.80)
o	aniticipated $1,296 for the month of February 2026 (ACTUAL $1545.60)
o	$1,728 for the month of March 2026
o	$1,728 for the month of April 2026
</t>
        </r>
      </text>
    </comment>
    <comment ref="O38" authorId="21" xr:uid="{E7B4283B-8F2D-4535-9340-07EE405FF2A4}">
      <text>
        <r>
          <rPr>
            <b/>
            <sz val="9"/>
            <rFont val="Tahoma"/>
          </rPr>
          <t xml:space="preserve">Luanne Kuzma:</t>
        </r>
        <r>
          <rPr>
            <sz val="9"/>
            <rFont val="Tahoma"/>
          </rPr>
          <t xml:space="preserve">
Transportation costs approved: $8,208 for program duration
Paid: $3,072
February Payment expected before end of fiscal year; expected carry over: Approximately $2,187.00
</t>
        </r>
      </text>
    </comment>
    <comment ref="H38" authorId="22" xr:uid="{2D5FEF08-46C3-4E54-9731-78F1BFCEC192}">
      <text>
        <r>
          <rPr>
            <b/>
            <sz val="9"/>
            <rFont val="Tahoma"/>
          </rPr>
          <t xml:space="preserve">Amanda Curtis:</t>
        </r>
        <r>
          <rPr>
            <sz val="9"/>
            <rFont val="Tahoma"/>
          </rPr>
          <t xml:space="preserve">
winter 2026 term
Tuition: $4.408.42 Winter Term 2026
</t>
        </r>
      </text>
    </comment>
    <comment ref="K40" authorId="23" xr:uid="{C6C2D90E-860D-4940-80C8-1A10D751E16C}">
      <text>
        <r>
          <rPr>
            <b/>
            <sz val="9"/>
            <rFont val="Tahoma"/>
          </rPr>
          <t xml:space="preserve">Luanne Kuzma:</t>
        </r>
        <r>
          <rPr>
            <sz val="9"/>
            <rFont val="Tahoma"/>
          </rPr>
          <t xml:space="preserve">
Funding for program fees
</t>
        </r>
      </text>
    </comment>
    <comment ref="O41" authorId="24" xr:uid="{CDD25668-A449-4619-B976-F422A4658D4D}">
      <text>
        <r>
          <rPr>
            <b/>
            <sz val="9"/>
            <rFont val="Tahoma"/>
          </rPr>
          <t xml:space="preserve">Luanne Kuzma:</t>
        </r>
        <r>
          <rPr>
            <sz val="9"/>
            <rFont val="Tahoma"/>
          </rPr>
          <t xml:space="preserve">
Living Allowance Payments:
January 2026 $300
February 2026 $300
March 2026 $300
April 2026 $300
May 2026 $300
June 2026 $300
Total: $1800.00
Expected for  fiscal year: Jan-Feb total: $600.00
Expected Carry Over: March-June Payments total: $1,200.00
</t>
        </r>
      </text>
    </comment>
    <comment ref="J41" authorId="25" xr:uid="{8008DDD3-2C10-A9F7-A22E-11486BA8508D}">
      <text>
        <r>
          <rPr>
            <b/>
            <sz val="9"/>
            <rFont val="Tahoma"/>
          </rPr>
          <t xml:space="preserve">Amanda Curtis:</t>
        </r>
        <r>
          <rPr>
            <sz val="9"/>
            <rFont val="Tahoma"/>
          </rPr>
          <t xml:space="preserve">
$300/month from Jan 2026 to June 2026
$300:February 26, 2026
$300: March 10, 2026
</t>
        </r>
      </text>
    </comment>
    <comment ref="H7" authorId="26" xr:uid="{8161CBE8-058A-4A5D-BD52-F223D0B31B65}">
      <text>
        <r>
          <rPr>
            <b/>
            <sz val="9"/>
            <rFont val="Tahoma"/>
          </rPr>
          <t xml:space="preserve">Amanda Curtis:</t>
        </r>
        <r>
          <rPr>
            <sz val="9"/>
            <rFont val="Tahoma"/>
          </rPr>
          <t xml:space="preserve">
winter 2026 term: November 21, 2025
</t>
        </r>
      </text>
    </comment>
    <comment ref="I7" authorId="27" xr:uid="{A36D8DB9-296A-455B-996E-57836ACB26EC}">
      <text>
        <r>
          <rPr>
            <b/>
            <sz val="9"/>
            <rFont val="Tahoma"/>
          </rPr>
          <t xml:space="preserve">Emilie Marion:</t>
        </r>
        <r>
          <rPr>
            <sz val="9"/>
            <rFont val="Tahoma"/>
          </rPr>
          <t xml:space="preserve">
pointe shoes reimbursement
</t>
        </r>
      </text>
    </comment>
    <comment ref="J7" authorId="28" xr:uid="{7D28DA1D-BC90-42D8-83ED-ABA8E2F1F1CC}">
      <text>
        <r>
          <rPr>
            <b/>
            <sz val="9"/>
            <rFont val="Tahoma"/>
          </rPr>
          <t xml:space="preserve">Emilie Marion:</t>
        </r>
        <r>
          <rPr>
            <sz val="9"/>
            <rFont val="Tahoma"/>
          </rPr>
          <t xml:space="preserve">
1,400 from november to june 2026
</t>
        </r>
      </text>
    </comment>
    <comment ref="H9" authorId="29" xr:uid="{7CB9BCB5-5A0D-8881-7AFA-866BCE5E223D}">
      <text>
        <r>
          <rPr>
            <b/>
            <sz val="9"/>
            <rFont val="Tahoma"/>
          </rPr>
          <t xml:space="preserve">Amanda Curtis:</t>
        </r>
        <r>
          <rPr>
            <sz val="9"/>
            <rFont val="Tahoma"/>
          </rPr>
          <t xml:space="preserve">
$8,660: Tuition December 9, 2025
</t>
        </r>
      </text>
    </comment>
    <comment ref="H10" authorId="30" xr:uid="{9C55E438-786F-A297-A1F8-514F7A92208D}">
      <text>
        <r>
          <rPr>
            <b/>
            <sz val="9"/>
            <rFont val="Tahoma"/>
          </rPr>
          <t xml:space="preserve">Emilie Marion:</t>
        </r>
        <r>
          <rPr>
            <sz val="9"/>
            <rFont val="Tahoma"/>
          </rPr>
          <t xml:space="preserve">
Housing Rental - 4 Bedroom (Winter 2026 semester)
$ 3,186.50
Residence Life Fee (Winter 2026 semester)
$ 55.00
Residence Infrastructure Fee (Winter 2026 semester)
$35.00
Meal Plan - 7 day (Winter 2026 semester)
$ 3,342.00
</t>
        </r>
      </text>
    </comment>
  </commentList>
</comments>
</file>

<file path=xl/sharedStrings.xml><?xml version="1.0" encoding="utf-8"?>
<sst xmlns="http://schemas.openxmlformats.org/spreadsheetml/2006/main" count="157" uniqueCount="157">
  <si>
    <t xml:space="preserve">BCNWA - ACTIVE CRF CLIENTS</t>
  </si>
  <si>
    <t xml:space="preserve">CRF / 2025-26</t>
  </si>
  <si>
    <t xml:space="preserve">DATE of Payments Made</t>
  </si>
  <si>
    <t xml:space="preserve">CRF Client
LAST Name</t>
  </si>
  <si>
    <t xml:space="preserve">CRF Client
FIRST Name</t>
  </si>
  <si>
    <t xml:space="preserve">Intervention
START DATE</t>
  </si>
  <si>
    <t xml:space="preserve">Intervention
END DATE</t>
  </si>
  <si>
    <t xml:space="preserve">Intervention Type</t>
  </si>
  <si>
    <t xml:space="preserve">Training Institution / Employment Partner</t>
  </si>
  <si>
    <t xml:space="preserve">Program Name / Position</t>
  </si>
  <si>
    <t xml:space="preserve">Tuition
ACTUAL</t>
  </si>
  <si>
    <t xml:space="preserve">Books/Equip
ACTUAL</t>
  </si>
  <si>
    <t xml:space="preserve">Living Allowance/ TWS</t>
  </si>
  <si>
    <t xml:space="preserve">Other (Childcare
Transport.)</t>
  </si>
  <si>
    <t xml:space="preserve">Total </t>
  </si>
  <si>
    <t>Tuition</t>
  </si>
  <si>
    <t>Books</t>
  </si>
  <si>
    <t>Other</t>
  </si>
  <si>
    <t>Notes</t>
  </si>
  <si>
    <t xml:space="preserve">Carry-over from Fiscal Year 2024-25</t>
  </si>
  <si>
    <t xml:space="preserve">CRF ADVANCES </t>
  </si>
  <si>
    <t xml:space="preserve">Louis </t>
  </si>
  <si>
    <t xml:space="preserve">Desiree </t>
  </si>
  <si>
    <t xml:space="preserve">Skills Development</t>
  </si>
  <si>
    <t>UBC</t>
  </si>
  <si>
    <t xml:space="preserve">Masters - Indigenous Studies</t>
  </si>
  <si>
    <t xml:space="preserve">Froese </t>
  </si>
  <si>
    <t xml:space="preserve">Sarah </t>
  </si>
  <si>
    <t xml:space="preserve">Vancouver Community College </t>
  </si>
  <si>
    <t xml:space="preserve">Arts Umbrella Dance Program</t>
  </si>
  <si>
    <t xml:space="preserve">nov, dec and jan sent to finance
feb sent to finance on mar 2</t>
  </si>
  <si>
    <t xml:space="preserve">April-June LA moved into fiscal year</t>
  </si>
  <si>
    <t>Campo</t>
  </si>
  <si>
    <t>Piper</t>
  </si>
  <si>
    <t xml:space="preserve">King's University College (Western University)</t>
  </si>
  <si>
    <t xml:space="preserve">Bachelor of Arts </t>
  </si>
  <si>
    <t>Crouse</t>
  </si>
  <si>
    <t>Marissa</t>
  </si>
  <si>
    <t xml:space="preserve">University of Northern British Columbia</t>
  </si>
  <si>
    <t xml:space="preserve">Bachelor of Arts, Major in History</t>
  </si>
  <si>
    <t>Loring</t>
  </si>
  <si>
    <t>Jeannie</t>
  </si>
  <si>
    <t xml:space="preserve">University of British Columbia</t>
  </si>
  <si>
    <t xml:space="preserve">Bachelor of Science, Major in Psychology</t>
  </si>
  <si>
    <t>Toledo</t>
  </si>
  <si>
    <t>Katelyn</t>
  </si>
  <si>
    <t xml:space="preserve">Medical Device Reprocessing Technician Certificate program</t>
  </si>
  <si>
    <t>Moore</t>
  </si>
  <si>
    <t>Shoshana</t>
  </si>
  <si>
    <t xml:space="preserve">Douglas College</t>
  </si>
  <si>
    <t xml:space="preserve">General Studies</t>
  </si>
  <si>
    <t xml:space="preserve">($3,109.77 Feb 03, 26)</t>
  </si>
  <si>
    <t xml:space="preserve">($360.44 Feb 19, 26 FA25 books)</t>
  </si>
  <si>
    <t xml:space="preserve">($1100 Feb 19,26 LA)($1100 March 03,26 LA)</t>
  </si>
  <si>
    <t xml:space="preserve">April LA moved into fiscal year</t>
  </si>
  <si>
    <t>Kelly</t>
  </si>
  <si>
    <t>Magdalena</t>
  </si>
  <si>
    <t xml:space="preserve">Self Employment</t>
  </si>
  <si>
    <t>SEB</t>
  </si>
  <si>
    <t xml:space="preserve">($1,000.00 Feb 5,26)</t>
  </si>
  <si>
    <t xml:space="preserve">($2,000.00 Feb 5,26LA)($2,000.00 Feb 5,26LA)($299.25 Feb 5,26PF)($320.25 Feb 5,26 PF)($306.39 Feb 5,26PF)($307.27 Feb 5,26PF)($2000.00 March 02,26 LA)($278.25 March 02,26 PF)</t>
  </si>
  <si>
    <t>Christian</t>
  </si>
  <si>
    <t>Erica</t>
  </si>
  <si>
    <t xml:space="preserve">Okanagan College</t>
  </si>
  <si>
    <t xml:space="preserve">Human Service Work Diploma</t>
  </si>
  <si>
    <t xml:space="preserve">2/12/2026
feb transportation sent on mar 2</t>
  </si>
  <si>
    <t xml:space="preserve">April Mileage carried over to new fiscal</t>
  </si>
  <si>
    <t xml:space="preserve">Available CRF Balance to Spend</t>
  </si>
  <si>
    <t xml:space="preserve">BCNWA - ACTIVE EI CLIENTS</t>
  </si>
  <si>
    <t xml:space="preserve">EI / 2025-26</t>
  </si>
  <si>
    <t xml:space="preserve">EI Client
LAST Name</t>
  </si>
  <si>
    <t xml:space="preserve">EI Client
FIRST Name</t>
  </si>
  <si>
    <t xml:space="preserve">EI ADVANCES</t>
  </si>
  <si>
    <t xml:space="preserve">Tremblay </t>
  </si>
  <si>
    <t xml:space="preserve">Cellicia </t>
  </si>
  <si>
    <t xml:space="preserve">Sprott Shaw College </t>
  </si>
  <si>
    <t xml:space="preserve">Practical Nursing </t>
  </si>
  <si>
    <t>Paid</t>
  </si>
  <si>
    <t xml:space="preserve">$3000(Dec.1,25) $3000(Jan.07,26)</t>
  </si>
  <si>
    <t xml:space="preserve">Barner </t>
  </si>
  <si>
    <t xml:space="preserve">Ashlee </t>
  </si>
  <si>
    <t xml:space="preserve">Athabasca University </t>
  </si>
  <si>
    <t xml:space="preserve">BA General Studies </t>
  </si>
  <si>
    <t xml:space="preserve">(June18th, 25 $2919.50) (  Sept 3rd, 25 $3043.50) (01/02/26 $2029.00)(Feb11th,26 $1014.50)</t>
  </si>
  <si>
    <t xml:space="preserve">(July LA $500)(Aug LA$500)(Sept LA $500)(12/17/25 $500) (01/01/26 $500)(2/2/26 $500)(2/24/26 $500)</t>
  </si>
  <si>
    <t xml:space="preserve">April LA moved into new fiscal</t>
  </si>
  <si>
    <t>McDonald</t>
  </si>
  <si>
    <t xml:space="preserve">Frankie </t>
  </si>
  <si>
    <t>PLATO</t>
  </si>
  <si>
    <t xml:space="preserve">Software Testing </t>
  </si>
  <si>
    <t xml:space="preserve">May 21st, 25 </t>
  </si>
  <si>
    <t xml:space="preserve">Kitson </t>
  </si>
  <si>
    <t xml:space="preserve">Kaitlyn </t>
  </si>
  <si>
    <t xml:space="preserve">Sept 2025</t>
  </si>
  <si>
    <t xml:space="preserve">Thompson River Univeristy </t>
  </si>
  <si>
    <t xml:space="preserve">BA Science Nursing </t>
  </si>
  <si>
    <t xml:space="preserve">(Sept 22nd, 25 $3,349.34)(Jan 19,26 $2,951.97) </t>
  </si>
  <si>
    <t xml:space="preserve">Living allowance:        ($2000 Oct. 31)($2000  Dec. 03) ($2000 Jan.7)($2000 March 02)</t>
  </si>
  <si>
    <t xml:space="preserve">BS Science Nursing</t>
  </si>
  <si>
    <t>Peters</t>
  </si>
  <si>
    <t>Valerie</t>
  </si>
  <si>
    <t xml:space="preserve">Bachelor of Business Administration, HR</t>
  </si>
  <si>
    <t xml:space="preserve">($1,588.94 Sept.23,25 Fa 25)($1,943.57 Sept.26,25 Fa 25)($1,269.42 Feb.11,26)
Sent OL Courses Fall 2025 amount (1,943.57) to finance Sept 26</t>
  </si>
  <si>
    <t xml:space="preserve">($145 Sept.10,25 books)</t>
  </si>
  <si>
    <t xml:space="preserve">($1200 Oct.01,25)($1200 Oct.31,25)($1200 Dec.01,25)($1200 Feb.02,26)($1200.00 Feb.26,26)</t>
  </si>
  <si>
    <t>Watkinson</t>
  </si>
  <si>
    <t>Cheyanne</t>
  </si>
  <si>
    <t xml:space="preserve">Bachelor of Communication and Digital Journalism</t>
  </si>
  <si>
    <t xml:space="preserve"> </t>
  </si>
  <si>
    <t xml:space="preserve">fall 2025 sent Oct 1 (2,722.46) winter 2026 sent Oct. 31 (3022.46)</t>
  </si>
  <si>
    <t>Minnabarriet</t>
  </si>
  <si>
    <t>Melanie</t>
  </si>
  <si>
    <t xml:space="preserve">Juris Doctor Program</t>
  </si>
  <si>
    <t xml:space="preserve">sent to finance Jan 20, 2026</t>
  </si>
  <si>
    <t xml:space="preserve">nov 21 for november 
january 22 for december
feb 4 for january
mar 9 for february</t>
  </si>
  <si>
    <t xml:space="preserve">April Transporation moved into next fiscal </t>
  </si>
  <si>
    <t>Hink</t>
  </si>
  <si>
    <t>Molly</t>
  </si>
  <si>
    <t xml:space="preserve">Account Technician Diploma</t>
  </si>
  <si>
    <t>Henderson</t>
  </si>
  <si>
    <t>Solana</t>
  </si>
  <si>
    <t xml:space="preserve"> Heavy Mechanical Foundation Certificate Program</t>
  </si>
  <si>
    <t xml:space="preserve">jan allowance sent to finance on Feb 26, 2026</t>
  </si>
  <si>
    <t xml:space="preserve">Heavy Mechancial Foundation Certificate Program</t>
  </si>
  <si>
    <t xml:space="preserve">April LA moved into next fiscal</t>
  </si>
  <si>
    <t xml:space="preserve">Available EI Balance to spend</t>
  </si>
  <si>
    <t xml:space="preserve">SASK. - ISET Coordinator Salary Advances</t>
  </si>
  <si>
    <t xml:space="preserve">Reg. Manager Name </t>
  </si>
  <si>
    <t>Month</t>
  </si>
  <si>
    <t xml:space="preserve">START DATE</t>
  </si>
  <si>
    <t xml:space="preserve">Salary Expensed</t>
  </si>
  <si>
    <t xml:space="preserve">Total Expensed/Balance</t>
  </si>
  <si>
    <t xml:space="preserve">SASK. - Operating Costs Advances</t>
  </si>
  <si>
    <t xml:space="preserve">Expense Category</t>
  </si>
  <si>
    <t xml:space="preserve">Operating Expensed</t>
  </si>
  <si>
    <t xml:space="preserve">Advances </t>
  </si>
  <si>
    <t xml:space="preserve">Advances Payment Date </t>
  </si>
  <si>
    <t xml:space="preserve">EI
Advance</t>
  </si>
  <si>
    <t xml:space="preserve">CRF Advances</t>
  </si>
  <si>
    <t>Balance</t>
  </si>
  <si>
    <t xml:space="preserve">CRF Advance </t>
  </si>
  <si>
    <t xml:space="preserve">Coordinator Salary</t>
  </si>
  <si>
    <t xml:space="preserve">Operating
Costs</t>
  </si>
  <si>
    <t xml:space="preserve">2024/2025 Carry-over </t>
  </si>
  <si>
    <t xml:space="preserve">EI Carryforward</t>
  </si>
  <si>
    <t xml:space="preserve">Advance 1 </t>
  </si>
  <si>
    <t xml:space="preserve">Advance 2</t>
  </si>
  <si>
    <t xml:space="preserve">Advance 3</t>
  </si>
  <si>
    <t xml:space="preserve">Advance 4</t>
  </si>
  <si>
    <t xml:space="preserve">Advance 5</t>
  </si>
  <si>
    <t xml:space="preserve">Advance 6</t>
  </si>
  <si>
    <t xml:space="preserve">Advance 7</t>
  </si>
  <si>
    <t xml:space="preserve">Advance 8</t>
  </si>
  <si>
    <t xml:space="preserve">Advance 9</t>
  </si>
  <si>
    <t xml:space="preserve">Advance 10</t>
  </si>
  <si>
    <t xml:space="preserve">Advance 11</t>
  </si>
  <si>
    <t xml:space="preserve">Advance 12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</si>
</sst>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3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&quot;$&quot;#,##0.00_);\(&quot;$&quot;#,##0.00\)"/>
    <numFmt numFmtId="167" formatCode="[$-409]d\-mmm\-yyyy;@"/>
    <numFmt numFmtId="168" formatCode="\$#,##0.00_);[Red]\(\$#,##0.00\)"/>
    <numFmt numFmtId="169" formatCode="\$#,##0_);[Red]\(\$#,##0\)"/>
    <numFmt numFmtId="170" formatCode="&quot;$&quot;#,##0.00;[Red]\-&quot;$&quot;#,##0.00"/>
    <numFmt numFmtId="171" formatCode="\$#,##0_);[Red](\$#,##0)"/>
    <numFmt numFmtId="172" formatCode="\$#,##0.00_);[Red](\$#,##0.00)"/>
    <numFmt numFmtId="173" formatCode="[$-F800]dddd\,\ mmmm\ dd\,\ yyyy"/>
    <numFmt numFmtId="174" formatCode="&quot;$&quot;#,##0.00"/>
    <numFmt numFmtId="175" formatCode="[$$-9]#,##0.00"/>
    <numFmt numFmtId="176" formatCode="[$-409]mmmm\ d\,\ yyyy;@"/>
  </numFmts>
  <fonts count="13">
    <font>
      <sz val="11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name val="Calibri"/>
      <scheme val="minor"/>
    </font>
    <font>
      <b/>
      <sz val="11.000000"/>
      <color indexed="2"/>
      <name val="Calibri"/>
      <scheme val="minor"/>
    </font>
    <font>
      <sz val="10.000000"/>
      <color theme="1"/>
      <name val="Calibri"/>
      <scheme val="minor"/>
    </font>
    <font>
      <sz val="10.000000"/>
      <name val="Calibri"/>
      <scheme val="minor"/>
    </font>
    <font>
      <b/>
      <sz val="10.000000"/>
      <color theme="1"/>
      <name val="Calibri"/>
      <scheme val="minor"/>
    </font>
    <font>
      <sz val="10.000000"/>
      <color indexed="2"/>
      <name val="Calibri"/>
      <scheme val="minor"/>
    </font>
    <font>
      <sz val="10.000000"/>
      <name val="Calibri"/>
    </font>
    <font>
      <b/>
      <sz val="10.000000"/>
      <color indexed="2"/>
      <name val="Calibri"/>
      <scheme val="minor"/>
    </font>
    <font>
      <sz val="10.000000"/>
      <color theme="1"/>
      <name val="Arial"/>
    </font>
    <font>
      <sz val="11.000000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rgb="FF99FFCC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/>
      </patternFill>
    </fill>
    <fill>
      <patternFill patternType="solid">
        <fgColor indexed="26"/>
      </patternFill>
    </fill>
    <fill>
      <patternFill patternType="solid">
        <fgColor rgb="FF00B050"/>
      </patternFill>
    </fill>
    <fill>
      <patternFill patternType="solid">
        <fgColor indexed="5"/>
      </patternFill>
    </fill>
    <fill>
      <patternFill patternType="solid">
        <fgColor theme="0" tint="0"/>
        <bgColor theme="0" tint="0"/>
      </patternFill>
    </fill>
    <fill>
      <patternFill patternType="solid">
        <fgColor theme="7"/>
      </patternFill>
    </fill>
    <fill>
      <patternFill patternType="solid">
        <fgColor indexed="2"/>
      </patternFill>
    </fill>
    <fill>
      <patternFill patternType="solid">
        <fgColor rgb="FF92D05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0.049989318521683403"/>
        <bgColor indexed="65"/>
      </patternFill>
    </fill>
  </fills>
  <borders count="30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0" fillId="0" borderId="0" numFmtId="165" applyNumberFormat="1" applyFont="0" applyFill="0" applyBorder="0" applyProtection="0"/>
  </cellStyleXfs>
  <cellXfs count="184">
    <xf fontId="0" fillId="0" borderId="0" numFmtId="0" xfId="0"/>
    <xf fontId="0" fillId="0" borderId="0" numFmtId="0" xfId="0" applyAlignment="1">
      <alignment horizontal="center"/>
    </xf>
    <xf fontId="1" fillId="2" borderId="1" numFmtId="0" xfId="0" applyFont="1" applyFill="1" applyBorder="1" applyAlignment="1">
      <alignment horizontal="center" vertical="center"/>
    </xf>
    <xf fontId="1" fillId="0" borderId="1" numFmtId="0" xfId="0" applyFont="1" applyBorder="1"/>
    <xf fontId="1" fillId="3" borderId="1" numFmtId="0" xfId="0" applyFont="1" applyFill="1" applyBorder="1" applyAlignment="1">
      <alignment horizontal="center" vertical="center"/>
    </xf>
    <xf fontId="0" fillId="0" borderId="1" numFmtId="0" xfId="0" applyBorder="1"/>
    <xf fontId="2" fillId="2" borderId="1" numFmtId="0" xfId="0" applyFont="1" applyFill="1" applyBorder="1" applyAlignment="1">
      <alignment horizontal="center" vertical="center"/>
    </xf>
    <xf fontId="3" fillId="2" borderId="2" numFmtId="0" xfId="0" applyFont="1" applyFill="1" applyBorder="1" applyAlignment="1">
      <alignment horizontal="center" vertical="center" wrapText="1"/>
    </xf>
    <xf fontId="2" fillId="2" borderId="2" numFmtId="0" xfId="0" applyFont="1" applyFill="1" applyBorder="1" applyAlignment="1">
      <alignment horizontal="center" vertical="center" wrapText="1"/>
    </xf>
    <xf fontId="2" fillId="2" borderId="3" numFmtId="0" xfId="0" applyFont="1" applyFill="1" applyBorder="1" applyAlignment="1">
      <alignment horizontal="center" vertical="center" wrapText="1"/>
    </xf>
    <xf fontId="2" fillId="2" borderId="2" numFmtId="0" xfId="0" applyFont="1" applyFill="1" applyBorder="1" applyAlignment="1">
      <alignment horizontal="center" vertical="center"/>
    </xf>
    <xf fontId="2" fillId="2" borderId="4" numFmtId="0" xfId="0" applyFont="1" applyFill="1" applyBorder="1" applyAlignment="1">
      <alignment horizontal="center" vertical="center" wrapText="1"/>
    </xf>
    <xf fontId="2" fillId="2" borderId="2" numFmtId="165" xfId="2" applyNumberFormat="1" applyFont="1" applyFill="1" applyBorder="1" applyAlignment="1">
      <alignment horizontal="center" vertical="center" wrapText="1"/>
    </xf>
    <xf fontId="2" fillId="2" borderId="2" numFmtId="165" xfId="2" applyNumberFormat="1" applyFont="1" applyFill="1" applyBorder="1" applyAlignment="1">
      <alignment horizontal="center" vertical="center"/>
    </xf>
    <xf fontId="3" fillId="2" borderId="0" numFmtId="0" xfId="0" applyFont="1" applyFill="1" applyAlignment="1">
      <alignment horizontal="center" vertical="center" wrapText="1"/>
    </xf>
    <xf fontId="2" fillId="2" borderId="0" numFmtId="0" xfId="0" applyFont="1" applyFill="1" applyAlignment="1">
      <alignment horizontal="center" vertical="center" wrapText="1"/>
    </xf>
    <xf fontId="2" fillId="2" borderId="0" numFmtId="0" xfId="0" applyFont="1" applyFill="1" applyAlignment="1">
      <alignment horizontal="center" vertical="center"/>
    </xf>
    <xf fontId="4" fillId="3" borderId="3" numFmtId="165" xfId="2" applyNumberFormat="1" applyFont="1" applyFill="1" applyBorder="1" applyAlignment="1">
      <alignment horizontal="center"/>
    </xf>
    <xf fontId="4" fillId="3" borderId="5" numFmtId="165" xfId="2" applyNumberFormat="1" applyFont="1" applyFill="1" applyBorder="1" applyAlignment="1">
      <alignment horizontal="center"/>
    </xf>
    <xf fontId="4" fillId="3" borderId="4" numFmtId="165" xfId="2" applyNumberFormat="1" applyFont="1" applyFill="1" applyBorder="1" applyAlignment="1">
      <alignment horizontal="center"/>
    </xf>
    <xf fontId="2" fillId="4" borderId="2" numFmtId="0" xfId="0" applyFont="1" applyFill="1" applyBorder="1" applyAlignment="1">
      <alignment horizontal="center" vertical="center"/>
    </xf>
    <xf fontId="2" fillId="2" borderId="0" numFmtId="165" xfId="2" applyNumberFormat="1" applyFont="1" applyFill="1" applyAlignment="1">
      <alignment horizontal="center" vertical="center"/>
    </xf>
    <xf fontId="3" fillId="0" borderId="0" numFmtId="0" xfId="0" applyFont="1" applyAlignment="1">
      <alignment horizontal="center"/>
    </xf>
    <xf fontId="2" fillId="0" borderId="0" numFmtId="0" xfId="0" applyFont="1" applyAlignment="1">
      <alignment horizontal="center"/>
    </xf>
    <xf fontId="2" fillId="0" borderId="0" numFmtId="0" xfId="0" applyFont="1"/>
    <xf fontId="2" fillId="0" borderId="0" numFmtId="0" xfId="0" applyFont="1" applyAlignment="1">
      <alignment horizontal="center" wrapText="1"/>
    </xf>
    <xf fontId="2" fillId="3" borderId="3" numFmtId="165" xfId="2" applyNumberFormat="1" applyFont="1" applyFill="1" applyBorder="1" applyAlignment="1">
      <alignment horizontal="center"/>
    </xf>
    <xf fontId="2" fillId="3" borderId="5" numFmtId="165" xfId="2" applyNumberFormat="1" applyFont="1" applyFill="1" applyBorder="1" applyAlignment="1">
      <alignment horizontal="center"/>
    </xf>
    <xf fontId="2" fillId="3" borderId="4" numFmtId="165" xfId="2" applyNumberFormat="1" applyFont="1" applyFill="1" applyBorder="1" applyAlignment="1">
      <alignment horizontal="center"/>
    </xf>
    <xf fontId="2" fillId="2" borderId="2" numFmtId="166" xfId="1" applyNumberFormat="1" applyFont="1" applyFill="1" applyBorder="1" applyAlignment="1">
      <alignment horizontal="center"/>
    </xf>
    <xf fontId="2" fillId="2" borderId="0" numFmtId="0" xfId="0" applyFont="1" applyFill="1" applyAlignment="1">
      <alignment horizontal="center" wrapText="1"/>
    </xf>
    <xf fontId="2" fillId="2" borderId="0" numFmtId="0" xfId="0" applyFont="1" applyFill="1" applyAlignment="1">
      <alignment horizontal="center"/>
    </xf>
    <xf fontId="0" fillId="5" borderId="0" numFmtId="0" xfId="0" applyFill="1"/>
    <xf fontId="5" fillId="5" borderId="6" numFmtId="0" xfId="0" applyFont="1" applyFill="1" applyBorder="1"/>
    <xf fontId="5" fillId="0" borderId="6" numFmtId="167" xfId="0" applyNumberFormat="1" applyFont="1" applyBorder="1" applyAlignment="1">
      <alignment horizontal="left"/>
    </xf>
    <xf fontId="6" fillId="5" borderId="6" numFmtId="0" xfId="0" applyFont="1" applyFill="1" applyBorder="1"/>
    <xf fontId="5" fillId="5" borderId="7" numFmtId="165" xfId="0" applyNumberFormat="1" applyFont="1" applyFill="1" applyBorder="1"/>
    <xf fontId="5" fillId="5" borderId="7" numFmtId="165" xfId="2" applyNumberFormat="1" applyFont="1" applyFill="1" applyBorder="1"/>
    <xf fontId="5" fillId="6" borderId="6" numFmtId="167" xfId="0" applyNumberFormat="1" applyFont="1" applyFill="1" applyBorder="1"/>
    <xf fontId="7" fillId="5" borderId="6" numFmtId="165" xfId="0" applyNumberFormat="1" applyFont="1" applyFill="1" applyBorder="1"/>
    <xf fontId="5" fillId="5" borderId="6" numFmtId="167" xfId="0" applyNumberFormat="1" applyFont="1" applyFill="1" applyBorder="1" applyAlignment="1">
      <alignment horizontal="left"/>
    </xf>
    <xf fontId="5" fillId="5" borderId="6" numFmtId="165" xfId="0" applyNumberFormat="1" applyFont="1" applyFill="1" applyBorder="1"/>
    <xf fontId="5" fillId="5" borderId="6" numFmtId="165" xfId="2" applyNumberFormat="1" applyFont="1" applyFill="1" applyBorder="1"/>
    <xf fontId="7" fillId="5" borderId="6" numFmtId="165" xfId="2" applyNumberFormat="1" applyFont="1" applyFill="1" applyBorder="1"/>
    <xf fontId="5" fillId="5" borderId="6" numFmtId="168" xfId="0" applyNumberFormat="1" applyFont="1" applyFill="1" applyBorder="1"/>
    <xf fontId="6" fillId="5" borderId="6" numFmtId="168" xfId="2" applyNumberFormat="1" applyFont="1" applyFill="1" applyBorder="1" applyAlignment="1">
      <alignment horizontal="left" indent="3"/>
    </xf>
    <xf fontId="5" fillId="5" borderId="6" numFmtId="169" xfId="2" applyNumberFormat="1" applyFont="1" applyFill="1" applyBorder="1"/>
    <xf fontId="5" fillId="0" borderId="6" numFmtId="165" xfId="0" applyNumberFormat="1" applyFont="1" applyBorder="1"/>
    <xf fontId="5" fillId="6" borderId="6" numFmtId="167" xfId="0" applyNumberFormat="1" applyFont="1" applyFill="1" applyBorder="1" applyAlignment="1">
      <alignment wrapText="1"/>
    </xf>
    <xf fontId="8" fillId="6" borderId="6" numFmtId="167" xfId="0" applyNumberFormat="1" applyFont="1" applyFill="1" applyBorder="1"/>
    <xf fontId="5" fillId="5" borderId="6" numFmtId="0" xfId="0" applyFont="1" applyFill="1" applyBorder="1" applyAlignment="1">
      <alignment wrapText="1"/>
    </xf>
    <xf fontId="5" fillId="5" borderId="6" numFmtId="170" xfId="0" applyNumberFormat="1" applyFont="1" applyFill="1" applyBorder="1"/>
    <xf fontId="5" fillId="5" borderId="6" numFmtId="170" xfId="2" applyNumberFormat="1" applyFont="1" applyFill="1" applyBorder="1"/>
    <xf fontId="5" fillId="0" borderId="6" numFmtId="0" xfId="0" applyFont="1" applyBorder="1"/>
    <xf fontId="6" fillId="0" borderId="6" numFmtId="0" xfId="0" applyFont="1" applyBorder="1"/>
    <xf fontId="5" fillId="0" borderId="6" numFmtId="165" xfId="2" applyNumberFormat="1" applyFont="1" applyBorder="1"/>
    <xf fontId="5" fillId="0" borderId="6" numFmtId="171" xfId="2" applyNumberFormat="1" applyFont="1" applyBorder="1"/>
    <xf fontId="7" fillId="0" borderId="6" numFmtId="165" xfId="2" applyNumberFormat="1" applyFont="1" applyBorder="1"/>
    <xf fontId="5" fillId="0" borderId="6" numFmtId="169" xfId="2" applyNumberFormat="1" applyFont="1" applyBorder="1"/>
    <xf fontId="8" fillId="0" borderId="6" numFmtId="3" xfId="2" applyNumberFormat="1" applyFont="1" applyBorder="1"/>
    <xf fontId="9" fillId="0" borderId="6" numFmtId="0" xfId="0" applyFont="1" applyBorder="1" applyAlignment="1">
      <alignment horizontal="left"/>
    </xf>
    <xf fontId="5" fillId="0" borderId="6" numFmtId="172" xfId="2" applyNumberFormat="1" applyFont="1" applyBorder="1"/>
    <xf fontId="7" fillId="0" borderId="6" numFmtId="165" xfId="0" applyNumberFormat="1" applyFont="1" applyBorder="1"/>
    <xf fontId="5" fillId="0" borderId="8" numFmtId="165" xfId="2" applyNumberFormat="1" applyFont="1" applyBorder="1"/>
    <xf fontId="5" fillId="0" borderId="8" numFmtId="165" xfId="0" applyNumberFormat="1" applyFont="1" applyBorder="1"/>
    <xf fontId="5" fillId="6" borderId="8" numFmtId="167" xfId="0" applyNumberFormat="1" applyFont="1" applyFill="1" applyBorder="1"/>
    <xf fontId="7" fillId="0" borderId="8" numFmtId="165" xfId="2" applyNumberFormat="1" applyFont="1" applyBorder="1"/>
    <xf fontId="2" fillId="0" borderId="9" numFmtId="0" xfId="0" applyFont="1" applyBorder="1"/>
    <xf fontId="7" fillId="0" borderId="9" numFmtId="173" xfId="0" applyNumberFormat="1" applyFont="1" applyBorder="1" applyAlignment="1">
      <alignment horizontal="center"/>
    </xf>
    <xf fontId="7" fillId="0" borderId="9" numFmtId="173" xfId="0" applyNumberFormat="1" applyFont="1" applyBorder="1"/>
    <xf fontId="7" fillId="0" borderId="9" numFmtId="0" xfId="0" applyFont="1" applyBorder="1"/>
    <xf fontId="7" fillId="0" borderId="10" numFmtId="0" xfId="0" applyFont="1" applyBorder="1"/>
    <xf fontId="7" fillId="3" borderId="2" numFmtId="165" xfId="2" applyNumberFormat="1" applyFont="1" applyFill="1" applyBorder="1"/>
    <xf fontId="7" fillId="0" borderId="11" numFmtId="165" xfId="2" applyNumberFormat="1" applyFont="1" applyBorder="1"/>
    <xf fontId="5" fillId="0" borderId="0" numFmtId="0" xfId="0" applyFont="1"/>
    <xf fontId="5" fillId="0" borderId="0" numFmtId="173" xfId="0" applyNumberFormat="1" applyFont="1" applyAlignment="1">
      <alignment horizontal="center"/>
    </xf>
    <xf fontId="5" fillId="0" borderId="0" numFmtId="173" xfId="0" applyNumberFormat="1" applyFont="1"/>
    <xf fontId="7" fillId="7" borderId="2" numFmtId="165" xfId="2" applyNumberFormat="1" applyFont="1" applyFill="1" applyBorder="1" applyAlignment="1">
      <alignment horizontal="center"/>
    </xf>
    <xf fontId="7" fillId="7" borderId="2" numFmtId="166" xfId="0" applyNumberFormat="1" applyFont="1" applyFill="1" applyBorder="1"/>
    <xf fontId="5" fillId="0" borderId="0" numFmtId="0" xfId="0" applyFont="1" applyAlignment="1">
      <alignment horizontal="center"/>
    </xf>
    <xf fontId="5" fillId="0" borderId="11" numFmtId="0" xfId="0" applyFont="1" applyBorder="1"/>
    <xf fontId="1" fillId="8" borderId="1" numFmtId="0" xfId="0" applyFont="1" applyFill="1" applyBorder="1" applyAlignment="1">
      <alignment horizontal="center" vertical="center"/>
    </xf>
    <xf fontId="2" fillId="2" borderId="1" numFmtId="0" xfId="0" applyFont="1" applyFill="1" applyBorder="1" applyAlignment="1">
      <alignment horizontal="center"/>
    </xf>
    <xf fontId="2" fillId="2" borderId="2" numFmtId="0" xfId="0" applyFont="1" applyFill="1" applyBorder="1" applyAlignment="1">
      <alignment horizontal="center" wrapText="1"/>
    </xf>
    <xf fontId="2" fillId="4" borderId="2" numFmtId="164" xfId="0" applyNumberFormat="1" applyFont="1" applyFill="1" applyBorder="1" applyAlignment="1">
      <alignment horizontal="center" vertical="center"/>
    </xf>
    <xf fontId="3" fillId="2" borderId="0" numFmtId="0" xfId="0" applyFont="1" applyFill="1" applyAlignment="1">
      <alignment horizontal="center"/>
    </xf>
    <xf fontId="2" fillId="2" borderId="0" numFmtId="0" xfId="0" applyFont="1" applyFill="1"/>
    <xf fontId="2" fillId="8" borderId="12" numFmtId="165" xfId="2" applyNumberFormat="1" applyFont="1" applyFill="1" applyBorder="1" applyAlignment="1">
      <alignment horizontal="center"/>
    </xf>
    <xf fontId="2" fillId="2" borderId="0" numFmtId="174" xfId="0" applyNumberFormat="1" applyFont="1" applyFill="1" applyAlignment="1">
      <alignment horizontal="center"/>
    </xf>
    <xf fontId="5" fillId="0" borderId="7" numFmtId="165" xfId="0" applyNumberFormat="1" applyFont="1" applyBorder="1"/>
    <xf fontId="5" fillId="6" borderId="7" numFmtId="165" xfId="0" applyNumberFormat="1" applyFont="1" applyFill="1" applyBorder="1"/>
    <xf fontId="8" fillId="6" borderId="7" numFmtId="165" xfId="0" applyNumberFormat="1" applyFont="1" applyFill="1" applyBorder="1"/>
    <xf fontId="5" fillId="6" borderId="7" numFmtId="167" xfId="0" applyNumberFormat="1" applyFont="1" applyFill="1" applyBorder="1"/>
    <xf fontId="5" fillId="0" borderId="6" numFmtId="3" xfId="2" applyNumberFormat="1" applyFont="1" applyBorder="1"/>
    <xf fontId="5" fillId="6" borderId="7" numFmtId="165" xfId="0" applyNumberFormat="1" applyFont="1" applyFill="1" applyBorder="1" applyAlignment="1">
      <alignment wrapText="1"/>
    </xf>
    <xf fontId="8" fillId="6" borderId="7" numFmtId="167" xfId="0" applyNumberFormat="1" applyFont="1" applyFill="1" applyBorder="1"/>
    <xf fontId="6" fillId="9" borderId="6" numFmtId="0" xfId="0" applyFont="1" applyFill="1" applyBorder="1"/>
    <xf fontId="6" fillId="0" borderId="0" numFmtId="0" xfId="0" applyFont="1" applyAlignment="1">
      <alignment wrapText="1"/>
    </xf>
    <xf fontId="5" fillId="0" borderId="6" numFmtId="168" xfId="2" applyNumberFormat="1" applyFont="1" applyBorder="1"/>
    <xf fontId="5" fillId="6" borderId="7" numFmtId="16" xfId="0" applyNumberFormat="1" applyFont="1" applyFill="1" applyBorder="1"/>
    <xf fontId="5" fillId="0" borderId="8" numFmtId="167" xfId="0" applyNumberFormat="1" applyFont="1" applyBorder="1" applyAlignment="1">
      <alignment horizontal="left"/>
    </xf>
    <xf fontId="8" fillId="6" borderId="7" numFmtId="165" xfId="0" applyNumberFormat="1" applyFont="1" applyFill="1" applyBorder="1" applyAlignment="1">
      <alignment wrapText="1"/>
    </xf>
    <xf fontId="6" fillId="0" borderId="6" numFmtId="0" xfId="0" applyFont="1" applyBorder="1" applyAlignment="1">
      <alignment horizontal="left" wrapText="1"/>
    </xf>
    <xf fontId="5" fillId="0" borderId="6" numFmtId="169" xfId="2" applyNumberFormat="1" applyFont="1" applyBorder="1" applyAlignment="1">
      <alignment wrapText="1"/>
    </xf>
    <xf fontId="6" fillId="0" borderId="6" numFmtId="167" xfId="0" applyNumberFormat="1" applyFont="1" applyBorder="1" applyAlignment="1">
      <alignment horizontal="left"/>
    </xf>
    <xf fontId="6" fillId="0" borderId="13" numFmtId="167" xfId="0" applyNumberFormat="1" applyFont="1" applyBorder="1" applyAlignment="1">
      <alignment horizontal="left"/>
    </xf>
    <xf fontId="6" fillId="0" borderId="13" numFmtId="0" xfId="0" applyFont="1" applyBorder="1"/>
    <xf fontId="6" fillId="0" borderId="8" numFmtId="0" xfId="0" applyFont="1" applyBorder="1"/>
    <xf fontId="6" fillId="0" borderId="6" numFmtId="165" xfId="2" applyNumberFormat="1" applyFont="1" applyBorder="1" applyAlignment="1">
      <alignment horizontal="left"/>
    </xf>
    <xf fontId="5" fillId="0" borderId="6" numFmtId="175" xfId="2" applyNumberFormat="1" applyFont="1" applyBorder="1"/>
    <xf fontId="6" fillId="0" borderId="0" numFmtId="167" xfId="0" applyNumberFormat="1" applyFont="1" applyAlignment="1">
      <alignment horizontal="left"/>
    </xf>
    <xf fontId="6" fillId="0" borderId="14" numFmtId="0" xfId="0" applyFont="1" applyBorder="1"/>
    <xf fontId="8" fillId="0" borderId="6" numFmtId="175" xfId="2" applyNumberFormat="1" applyFont="1" applyBorder="1"/>
    <xf fontId="6" fillId="0" borderId="15" numFmtId="0" xfId="0" applyFont="1" applyBorder="1"/>
    <xf fontId="6" fillId="0" borderId="0" numFmtId="0" xfId="0" applyFont="1"/>
    <xf fontId="5" fillId="0" borderId="6" numFmtId="170" xfId="2" applyNumberFormat="1" applyFont="1" applyBorder="1"/>
    <xf fontId="5" fillId="0" borderId="13" numFmtId="167" xfId="0" applyNumberFormat="1" applyFont="1" applyBorder="1" applyAlignment="1">
      <alignment horizontal="left"/>
    </xf>
    <xf fontId="5" fillId="0" borderId="7" numFmtId="0" xfId="0" applyFont="1" applyBorder="1"/>
    <xf fontId="5" fillId="0" borderId="6" numFmtId="0" xfId="0" applyFont="1" applyBorder="1" applyAlignment="1">
      <alignment wrapText="1"/>
    </xf>
    <xf fontId="5" fillId="0" borderId="6" numFmtId="167" xfId="0" applyNumberFormat="1" applyFont="1" applyBorder="1" applyAlignment="1">
      <alignment horizontal="center"/>
    </xf>
    <xf fontId="5" fillId="0" borderId="13" numFmtId="167" xfId="0" applyNumberFormat="1" applyFont="1" applyBorder="1"/>
    <xf fontId="5" fillId="0" borderId="8" numFmtId="0" xfId="0" applyFont="1" applyBorder="1" applyAlignment="1">
      <alignment wrapText="1"/>
    </xf>
    <xf fontId="6" fillId="0" borderId="6" numFmtId="0" xfId="0" applyFont="1" applyBorder="1" applyAlignment="1">
      <alignment wrapText="1"/>
    </xf>
    <xf fontId="5" fillId="0" borderId="7" numFmtId="0" xfId="0" applyFont="1" applyBorder="1" applyAlignment="1">
      <alignment wrapText="1"/>
    </xf>
    <xf fontId="5" fillId="0" borderId="16" numFmtId="0" xfId="0" applyFont="1" applyBorder="1" applyAlignment="1">
      <alignment wrapText="1"/>
    </xf>
    <xf fontId="10" fillId="6" borderId="7" numFmtId="165" xfId="0" applyNumberFormat="1" applyFont="1" applyFill="1" applyBorder="1"/>
    <xf fontId="5" fillId="0" borderId="8" numFmtId="0" xfId="0" applyFont="1" applyBorder="1"/>
    <xf fontId="10" fillId="6" borderId="16" numFmtId="165" xfId="0" applyNumberFormat="1" applyFont="1" applyFill="1" applyBorder="1"/>
    <xf fontId="5" fillId="6" borderId="16" numFmtId="165" xfId="0" applyNumberFormat="1" applyFont="1" applyFill="1" applyBorder="1"/>
    <xf fontId="0" fillId="0" borderId="6" numFmtId="167" xfId="0" applyNumberFormat="1" applyBorder="1" applyAlignment="1">
      <alignment horizontal="left"/>
    </xf>
    <xf fontId="0" fillId="0" borderId="6" numFmtId="165" xfId="2" applyNumberFormat="1" applyBorder="1"/>
    <xf fontId="0" fillId="0" borderId="7" numFmtId="165" xfId="0" applyNumberFormat="1" applyBorder="1"/>
    <xf fontId="0" fillId="6" borderId="7" numFmtId="165" xfId="0" applyNumberFormat="1" applyFill="1" applyBorder="1"/>
    <xf fontId="0" fillId="0" borderId="6" numFmtId="0" xfId="0" applyBorder="1"/>
    <xf fontId="0" fillId="0" borderId="8" numFmtId="167" xfId="0" applyNumberFormat="1" applyBorder="1" applyAlignment="1">
      <alignment horizontal="left"/>
    </xf>
    <xf fontId="0" fillId="6" borderId="16" numFmtId="165" xfId="0" applyNumberFormat="1" applyFill="1" applyBorder="1"/>
    <xf fontId="10" fillId="6" borderId="6" numFmtId="165" xfId="0" applyNumberFormat="1" applyFont="1" applyFill="1" applyBorder="1"/>
    <xf fontId="5" fillId="6" borderId="6" numFmtId="165" xfId="0" applyNumberFormat="1" applyFont="1" applyFill="1" applyBorder="1"/>
    <xf fontId="7" fillId="8" borderId="2" numFmtId="170" xfId="2" applyNumberFormat="1" applyFont="1" applyFill="1" applyBorder="1"/>
    <xf fontId="7" fillId="8" borderId="2" numFmtId="165" xfId="2" applyNumberFormat="1" applyFont="1" applyFill="1" applyBorder="1"/>
    <xf fontId="7" fillId="0" borderId="17" numFmtId="165" xfId="2" applyNumberFormat="1" applyFont="1" applyBorder="1"/>
    <xf fontId="7" fillId="0" borderId="9" numFmtId="165" xfId="2" applyNumberFormat="1" applyFont="1" applyBorder="1"/>
    <xf fontId="7" fillId="0" borderId="9" numFmtId="170" xfId="2" applyNumberFormat="1" applyFont="1" applyBorder="1"/>
    <xf fontId="7" fillId="10" borderId="3" numFmtId="165" xfId="2" applyNumberFormat="1" applyFont="1" applyFill="1" applyBorder="1" applyAlignment="1">
      <alignment horizontal="center"/>
    </xf>
    <xf fontId="7" fillId="10" borderId="5" numFmtId="165" xfId="2" applyNumberFormat="1" applyFont="1" applyFill="1" applyBorder="1" applyAlignment="1">
      <alignment horizontal="center"/>
    </xf>
    <xf fontId="7" fillId="10" borderId="4" numFmtId="166" xfId="0" applyNumberFormat="1" applyFont="1" applyFill="1" applyBorder="1"/>
    <xf fontId="5" fillId="0" borderId="18" numFmtId="0" xfId="0" applyFont="1" applyBorder="1"/>
    <xf fontId="1" fillId="11" borderId="18" numFmtId="0" xfId="0" applyFont="1" applyFill="1" applyBorder="1" applyAlignment="1">
      <alignment horizontal="center"/>
    </xf>
    <xf fontId="1" fillId="11" borderId="0" numFmtId="0" xfId="0" applyFont="1" applyFill="1" applyAlignment="1">
      <alignment horizontal="center"/>
    </xf>
    <xf fontId="2" fillId="2" borderId="0" numFmtId="165" xfId="2" applyNumberFormat="1" applyFont="1" applyFill="1" applyAlignment="1">
      <alignment horizontal="center" vertical="center" wrapText="1"/>
    </xf>
    <xf fontId="2" fillId="2" borderId="19" numFmtId="0" xfId="0" applyFont="1" applyFill="1" applyBorder="1" applyAlignment="1">
      <alignment horizontal="center" vertical="center"/>
    </xf>
    <xf fontId="2" fillId="2" borderId="19" numFmtId="165" xfId="2" applyNumberFormat="1" applyFont="1" applyFill="1" applyBorder="1" applyAlignment="1">
      <alignment horizontal="center" vertical="center" wrapText="1"/>
    </xf>
    <xf fontId="2" fillId="2" borderId="20" numFmtId="166" xfId="1" applyNumberFormat="1" applyFont="1" applyFill="1" applyBorder="1" applyAlignment="1">
      <alignment horizontal="center"/>
    </xf>
    <xf fontId="0" fillId="0" borderId="21" numFmtId="0" xfId="0" applyBorder="1"/>
    <xf fontId="11" fillId="5" borderId="6" numFmtId="17" xfId="0" applyNumberFormat="1" applyFont="1" applyFill="1" applyBorder="1"/>
    <xf fontId="2" fillId="0" borderId="6" numFmtId="15" xfId="0" applyNumberFormat="1" applyFont="1" applyBorder="1" applyAlignment="1">
      <alignment horizontal="center"/>
    </xf>
    <xf fontId="5" fillId="5" borderId="6" numFmtId="4" xfId="1" applyNumberFormat="1" applyFont="1" applyFill="1" applyBorder="1"/>
    <xf fontId="0" fillId="5" borderId="22" numFmtId="165" xfId="0" applyNumberFormat="1" applyFill="1" applyBorder="1"/>
    <xf fontId="5" fillId="5" borderId="6" numFmtId="17" xfId="0" applyNumberFormat="1" applyFont="1" applyFill="1" applyBorder="1"/>
    <xf fontId="2" fillId="5" borderId="6" numFmtId="0" xfId="0" applyFont="1" applyFill="1" applyBorder="1" applyAlignment="1">
      <alignment horizontal="center"/>
    </xf>
    <xf fontId="2" fillId="0" borderId="6" numFmtId="0" xfId="0" applyFont="1" applyBorder="1" applyAlignment="1">
      <alignment horizontal="center"/>
    </xf>
    <xf fontId="5" fillId="0" borderId="6" numFmtId="4" xfId="1" applyNumberFormat="1" applyFont="1" applyBorder="1"/>
    <xf fontId="2" fillId="12" borderId="21" numFmtId="0" xfId="0" applyFont="1" applyFill="1" applyBorder="1" applyAlignment="1">
      <alignment horizontal="center"/>
    </xf>
    <xf fontId="2" fillId="12" borderId="14" numFmtId="0" xfId="0" applyFont="1" applyFill="1" applyBorder="1" applyAlignment="1">
      <alignment horizontal="center"/>
    </xf>
    <xf fontId="2" fillId="12" borderId="23" numFmtId="0" xfId="0" applyFont="1" applyFill="1" applyBorder="1" applyAlignment="1">
      <alignment horizontal="center"/>
    </xf>
    <xf fontId="7" fillId="12" borderId="24" numFmtId="165" xfId="2" applyNumberFormat="1" applyFont="1" applyFill="1" applyBorder="1"/>
    <xf fontId="2" fillId="2" borderId="25" numFmtId="0" xfId="0" applyFont="1" applyFill="1" applyBorder="1" applyAlignment="1">
      <alignment horizontal="center"/>
    </xf>
    <xf fontId="2" fillId="2" borderId="11" numFmtId="0" xfId="0" applyFont="1" applyFill="1" applyBorder="1" applyAlignment="1">
      <alignment horizontal="center"/>
    </xf>
    <xf fontId="2" fillId="2" borderId="11" numFmtId="165" xfId="2" applyNumberFormat="1" applyFont="1" applyFill="1" applyBorder="1" applyAlignment="1">
      <alignment horizontal="center" vertical="center" wrapText="1"/>
    </xf>
    <xf fontId="2" fillId="2" borderId="26" numFmtId="0" xfId="0" applyFont="1" applyFill="1" applyBorder="1" applyAlignment="1">
      <alignment horizontal="center"/>
    </xf>
    <xf fontId="2" fillId="2" borderId="27" numFmtId="0" xfId="0" applyFont="1" applyFill="1" applyBorder="1" applyAlignment="1">
      <alignment horizontal="center"/>
    </xf>
    <xf fontId="2" fillId="2" borderId="19" numFmtId="0" xfId="0" applyFont="1" applyFill="1" applyBorder="1" applyAlignment="1">
      <alignment horizontal="center"/>
    </xf>
    <xf fontId="2" fillId="2" borderId="28" numFmtId="166" xfId="1" applyNumberFormat="1" applyFont="1" applyFill="1" applyBorder="1" applyAlignment="1">
      <alignment horizontal="center"/>
    </xf>
    <xf fontId="2" fillId="13" borderId="2" numFmtId="0" xfId="0" applyFont="1" applyFill="1" applyBorder="1" applyAlignment="1">
      <alignment horizontal="center" vertical="center" wrapText="1"/>
    </xf>
    <xf fontId="2" fillId="13" borderId="2" numFmtId="0" xfId="0" applyFont="1" applyFill="1" applyBorder="1" applyAlignment="1">
      <alignment horizontal="center" wrapText="1"/>
    </xf>
    <xf fontId="2" fillId="12" borderId="29" numFmtId="0" xfId="0" applyFont="1" applyFill="1" applyBorder="1" applyAlignment="1">
      <alignment wrapText="1"/>
    </xf>
    <xf fontId="2" fillId="12" borderId="19" numFmtId="176" xfId="0" applyNumberFormat="1" applyFont="1" applyFill="1" applyBorder="1"/>
    <xf fontId="2" fillId="12" borderId="19" numFmtId="164" xfId="1" applyNumberFormat="1" applyFont="1" applyFill="1" applyBorder="1" applyAlignment="1">
      <alignment wrapText="1"/>
    </xf>
    <xf fontId="2" fillId="12" borderId="20" numFmtId="164" xfId="1" applyNumberFormat="1" applyFont="1" applyFill="1" applyBorder="1" applyAlignment="1">
      <alignment wrapText="1"/>
    </xf>
    <xf fontId="0" fillId="0" borderId="6" numFmtId="176" xfId="0" applyNumberFormat="1" applyBorder="1" applyAlignment="1">
      <alignment horizontal="center"/>
    </xf>
    <xf fontId="12" fillId="0" borderId="6" numFmtId="4" xfId="0" applyNumberFormat="1" applyFont="1" applyBorder="1"/>
    <xf fontId="0" fillId="0" borderId="6" numFmtId="0" xfId="0" applyBorder="1" applyAlignment="1">
      <alignment horizontal="center"/>
    </xf>
    <xf fontId="2" fillId="13" borderId="6" numFmtId="4" xfId="0" applyNumberFormat="1" applyFont="1" applyFill="1" applyBorder="1"/>
    <xf fontId="0" fillId="14" borderId="6" numFmtId="4" xfId="0" applyNumberFormat="1" applyFill="1" applyBorder="1" applyAlignment="1">
      <alignment horizontal="center"/>
    </xf>
  </cellXfs>
  <cellStyles count="3">
    <cellStyle name="Comma" xfId="1" builtinId="3"/>
    <cellStyle name="Currency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customXml" Target="../customXml/item1.xml"/><Relationship  Id="rId3" Type="http://schemas.openxmlformats.org/officeDocument/2006/relationships/customXml" Target="../customXml/item2.xml"/><Relationship  Id="rId4" Type="http://schemas.openxmlformats.org/officeDocument/2006/relationships/customXml" Target="../customXml/item3.xml"/><Relationship  Id="rId5" Type="http://schemas.openxmlformats.org/officeDocument/2006/relationships/worksheet" Target="worksheets/sheet1.xml"/><Relationship  Id="rId6" Type="http://schemas.openxmlformats.org/officeDocument/2006/relationships/worksheet" Target="worksheets/sheet2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anne Kuzma" id="{8D27A2C6-AB1B-1D69-234E-97DC562060AA}" userId="S::lkuzma@nwac.ca::b8ff15b3-a48c-42ec-93b1-6caed810b296" providerId="Teamlab"/>
  <person displayName="Luanne Kuzma" id="{87E85B48-370D-B253-E154-261961A16B51}" userId="S::lkuzma@nwac.ca::b8ff15b3-a48c-42ec-93b1-6caed810b296" providerId="AD"/>
  <person displayName="Amanda Curtis" id="{451FF4F9-53D8-93AE-429A-0E492209F6EF}" userId="ocsdc8q0kjfu_acurtis" providerId="Teamlab"/>
  <person displayName="Luanne Kuzma" id="{0AC50BCA-FB4D-D37F-B451-5F3E824D4AAF}"/>
  <person displayName="Emilie Marion" id="{0279B1F7-DB80-EE26-83F7-99FDC0821971}" userId="ocsdc8q0kjfu_emarion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2" dT="2026-01-20T15:31:55.20Z" personId="{8D27A2C6-AB1B-1D69-234E-97DC562060AA}" id="{0C259E95-051D-4A42-AF23-8FDB62CF5310}" done="0">
    <text xml:space="preserve">Graduation Fee
</text>
  </threadedComment>
  <threadedComment ref="H12" dT="2026-01-20T15:30:22.79Z" personId="{8D27A2C6-AB1B-1D69-234E-97DC562060AA}" id="{395F10CB-54EB-4F14-AC58-EE89FFA41A24}" done="0">
    <text xml:space="preserve">MDRT 1201 (Theory) $2,817.79
MDRT 1211 (Clinical) $8,047.51
</text>
  </threadedComment>
  <threadedComment ref="I12" dT="2026-01-20T15:30:48.29Z" personId="{8D27A2C6-AB1B-1D69-234E-97DC562060AA}" id="{B4E46D7B-4892-44FC-A168-2F734D70F5FB}" done="0">
    <text xml:space="preserve">Reimbursement with receipt
</text>
  </threadedComment>
  <threadedComment ref="I12" dT="2026-01-20T15:31:28.84Z" personId="{87E85B48-370D-B253-E154-261961A16B51}" id="{5FDADC24-A7AF-4955-9D31-35EC90E31977}" parentId="{B4E46D7B-4892-44FC-A168-2F734D70F5FB}" done="0">
    <text xml:space="preserve">$100 for books
</text>
  </threadedComment>
  <threadedComment ref="I12" dT="2026-01-20T15:31:38.21Z" personId="{87E85B48-370D-B253-E154-261961A16B51}" id="{27D385EF-2C65-4D85-AC1F-A195939A3180}" parentId="{B4E46D7B-4892-44FC-A168-2F734D70F5FB}" done="0">
    <text xml:space="preserve">$80 for white hospital shoes
</text>
  </threadedComment>
  <threadedComment ref="J13" dT="2026-01-20T15:34:22.96Z" personId="{8D27A2C6-AB1B-1D69-234E-97DC562060AA}" id="{D8FAD01B-601D-4989-A28A-02D171A23CC9}" done="0">
    <text xml:space="preserve">January $1100.00
February $110.00
March $1100.00
April $1100.00
</text>
  </threadedComment>
  <threadedComment ref="J13" dT="2026-02-21T01:30:25.43Z" personId="{87E85B48-370D-B253-E154-261961A16B51}" id="{B34C8864-DE02-4304-9F74-A2B3EBADF0CB}" parentId="{D8FAD01B-601D-4989-A28A-02D171A23CC9}" done="0">
    <text xml:space="preserve">Living Allowance Payments Made:
Payments expected in current fiscal year: Jan 2026 &amp; Feb 2026 $1,100.00; Total $2,200.00
Expected Carry Over:
March 2026 $1,100.00
April 2026 $1,100.00
Total:$2,200.00
</text>
  </threadedComment>
  <threadedComment ref="K15" dT="2026-03-26T17:30:57.38Z" personId="{451FF4F9-53D8-93AE-429A-0E492209F6EF}" id="{2DFE896A-5BD8-96F2-DC02-10D4F0D0785D}" done="0">
    <text xml:space="preserve">$299.25: Brokerage Fees February 5, 2026
$1,000: Business Home Set up-February 5, 2026
$320.25: Brokerage Fees February 5, 2026
$307.27: Brokerage Fees February 5, 2026
$306.39: Brokerage Fees February 5, 2026
$278.25: Brokerage Fees March 2, 2026
Total: $2,511.41
</text>
  </threadedComment>
  <threadedComment ref="N15" dT="2026-02-05T19:24:36.67Z" personId="{8D27A2C6-AB1B-1D69-234E-97DC562060AA}" id="{98EBADE9-708C-4602-BE62-6E4E9C24048E}" done="0">
    <text xml:space="preserve">Home Office Set Up (Equipment)
Approved: $2,000.00
Advance: $1,000.00
</text>
  </threadedComment>
  <threadedComment ref="O15" dT="2026-02-05T19:27:45.77Z" personId="{8D27A2C6-AB1B-1D69-234E-97DC562060AA}" id="{C87F1B4E-9DFC-4BDF-B6CC-4AD1C46E379B}" done="0">
    <text xml:space="preserve">Living Allowance Approved: $2,000.00
Dec LA - $2,000.00 (Feb 5,26)
Jan LA - $2,000.00 (Feb 5, 26)
Expected Carry over: $1000.00
</text>
  </threadedComment>
  <threadedComment ref="O15" dT="2026-02-05T21:06:17.40Z" personId="{87E85B48-370D-B253-E154-261961A16B51}" id="{67514C7E-FA01-43E0-B11F-4D93894F9388}" parentId="{C87F1B4E-9DFC-4BDF-B6CC-4AD1C46E379B}" done="0">
    <text xml:space="preserve">Brokerage Fees Approved for : $4,800.00. Client received monthly invoice
Oct 2025 : $299.25
Nov 2025: $320.25
Dec 2025: $306.39
Jan 2026: $307.27
Expected Carry over: $4,566.54
</text>
  </threadedComment>
  <threadedComment ref="P15" dT="2026-02-05T21:05:29.28Z" personId="{8D27A2C6-AB1B-1D69-234E-97DC562060AA}" id="{133C00E9-23E9-4E8B-B5B6-52C5095A85C2}" done="0">
    <text xml:space="preserve">Brokerage Fees Approved:
$4800.00
</text>
  </threadedComment>
  <threadedComment ref="P15" dT="2026-02-21T00:27:28.19Z" personId="{87E85B48-370D-B253-E154-261961A16B51}" id="{D06B4C8D-FC85-46D2-8FB1-7E288BD66950}" parentId="{133C00E9-23E9-4E8B-B5B6-52C5095A85C2}" done="0">
    <text xml:space="preserve">Living Allowance Payments:              July 2026 $2,000.00
August 2026 $2,000.00
September 2026 $2,000.00
October 2026 $2,000.00
November 2026 $2,000.00
December 2026 $2,000.00
Total: 24,000.00
Expected for Fiscal Year: $6,000.00
Expected Carry Over: $18,000.00
</text>
  </threadedComment>
  <threadedComment ref="K17" dT="2026-02-09T20:48:35.20Z" personId="{451FF4F9-53D8-93AE-429A-0E492209F6EF}" id="{288CE097-087C-E031-CC62-BD58B7450FEB}" done="0">
    <text xml:space="preserve">Parking Passes
$66.15 for Fall 2025: February 12, 2026
$66.15 for Winter 2026: February 12, 2026
Total: $132.30
Mileage
$ 67.20 for the month of Jan 2026: February 12, 2026
$ 60.48 for the month of Feb 2026 (ACTUAL 49.26) March 2, 2026
$ 60.48 for the month of March 2026
$  60.48 for the month of April 2026
</text>
  </threadedComment>
  <threadedComment ref="H17" dT="2026-03-25T18:35:53.45Z" personId="{451FF4F9-53D8-93AE-429A-0E492209F6EF}" id="{5B6D8042-7C8F-0D54-1E30-10C9AF7AF49C}" done="0">
    <text xml:space="preserve">February 12, 2026: $90.00 Program Costs Violence Prevention Program
</text>
  </threadedComment>
  <threadedComment ref="I17" dT="2026-03-25T18:35:03.26Z" personId="{451FF4F9-53D8-93AE-429A-0E492209F6EF}" id="{209E22DD-80CE-7941-3060-4D5C3D54F99F}" done="0">
    <text xml:space="preserve">February 12, 2026: $60.89 Book Fall Semester
</text>
  </threadedComment>
  <threadedComment ref="O29" personId="{0AC50BCA-FB4D-D37F-B451-5F3E824D4AAF}" id="{004900A9-0074-4AF1-B171-001300F700AB}" done="0">
    <text xml:space="preserve">May-June'25: $1500.00/month
July-Oct'25: $2000.00/month
Nov-June: $3000.00/month
=$35,000.00
</text>
  </threadedComment>
  <threadedComment ref="O29" dT="2026-02-21T01:48:46.06Z" personId="{87E85B48-370D-B253-E154-261961A16B51}" id="{9A0507FC-8E32-4D07-AC55-B1F19C1D1BD2}" parentId="{004900A9-0074-4AF1-B171-001300F700AB}" done="0">
    <text xml:space="preserve">Expected Remaining Payment for fiscal year: February:3,000.00
Expected Carry Over:
March 26-June 26: $3,000.00;Total: $12,000.00
</text>
  </threadedComment>
  <threadedComment ref="O30" dT="2025-12-17T23:44:40.66Z" personId="{8D27A2C6-AB1B-1D69-234E-97DC562060AA}" id="{BDB7F58A-A75A-47D1-9764-CAFDECE45097}" done="0">
    <text xml:space="preserve">Living Allowance:
Amended
November - April
$500 per month
</text>
  </threadedComment>
  <threadedComment ref="O33" personId="{0AC50BCA-FB4D-D37F-B451-5F3E824D4AAF}" id="{003D005F-006A-4BFB-9CED-004500970078}" done="0">
    <text xml:space="preserve">$2000/month until April 2026
Expected Payments for Fiscal year: Sept-Feb Payments: $2,000.00; Total: $12,000.00
Expected Carry over:
March 2026 &amp; April 2026 Payments: $2,000.00; $4,000.00 total
</text>
  </threadedComment>
  <threadedComment ref="J33" personId="{0AC50BCA-FB4D-D37F-B451-5F3E824D4AAF}" id="{71A1E586-6B98-4742-8F36-F759624EE30B}" done="0">
    <text xml:space="preserve">$2,000 per month
</text>
  </threadedComment>
  <threadedComment ref="O35" dT="2026-02-21T01:35:47.53Z" personId="{8D27A2C6-AB1B-1D69-234E-97DC562060AA}" id="{9F392E31-E493-4F04-95E3-D33909B10F75}" done="0">
    <text xml:space="preserve">Payments Made:
Sept-Jan: $1,200.00; total: $6,000.00
Remaining Expected for Fiscal Year:
February 2026 $1,200.00
Expected Carry Over: 
March 2026 &amp; April 2026: $1,200.00; Total: $2,400.00
</text>
  </threadedComment>
  <threadedComment ref="H35" dT="2026-03-23T19:52:49.50Z" personId="{451FF4F9-53D8-93AE-429A-0E492209F6EF}" id="{314FDC70-1378-1798-4F55-BF51FD6C9021}" done="0">
    <text xml:space="preserve">$1,269.42: February 11, 2026
$1,588.94: September 23, 2025
$1,943.57: September 26, 2025
</text>
  </threadedComment>
  <threadedComment ref="I35" dT="2026-03-23T19:56:45.90Z" personId="{451FF4F9-53D8-93AE-429A-0E492209F6EF}" id="{0EBC7430-4D2B-23A4-12A3-CF2BC8853816}" done="0">
    <text xml:space="preserve">$145: September 10, 2025
</text>
  </threadedComment>
  <threadedComment ref="J35" dT="2025-09-10T14:01:12.74Z" personId="{451FF4F9-53D8-93AE-429A-0E492209F6EF}" id="{F277CA8D-1186-4B95-8097-927744A0D0A3}" done="0">
    <text xml:space="preserve">$1,200: February 26, 2026
$1.200: February 11, 2026
$1,200: February 2, 2026
$1,200: October 1, 2025
$1,200: October 31, 2025
$1,200: December 1, 2025
</text>
  </threadedComment>
  <threadedComment ref="O37" personId="{0AC50BCA-FB4D-D37F-B451-5F3E824D4AAF}" id="{00B10077-00B1-41AF-8BFC-00E100830081}" done="0">
    <text xml:space="preserve">$1200.00 per month
</text>
  </threadedComment>
  <threadedComment ref="K38" dT="2025-11-21T15:28:28.91Z" personId="{0279B1F7-DB80-EE26-83F7-99FDC0821971}" id="{01EF4077-3E8B-4202-A9BF-08814D76F395}" done="0">
    <text xml:space="preserve">o	$864 for the month of November 2025 (ACTUAL $864)
o	anticipated $1,296 for the month of December 2025 (ACTUAL $883.20) 
o	anticipated $1,296 for the month of January 2026 (ACTUAL 1324.80)
o	aniticipated $1,296 for the month of February 2026 (ACTUAL $1545.60)
o	$1,728 for the month of March 2026
o	$1,728 for the month of April 2026
</text>
  </threadedComment>
  <threadedComment ref="O38" dT="2026-02-21T01:23:53.78Z" personId="{8D27A2C6-AB1B-1D69-234E-97DC562060AA}" id="{E7B4283B-8F2D-4535-9340-07EE405FF2A4}" done="0">
    <text xml:space="preserve">Transportation costs approved: $8,208 for program duration
Paid: $3,072
February Payment expected before end of fiscal year; expected carry over: Approximately $2,187.00
</text>
  </threadedComment>
  <threadedComment ref="H38" dT="2025-11-18T02:07:28.58Z" personId="{451FF4F9-53D8-93AE-429A-0E492209F6EF}" id="{2D5FEF08-46C3-4E54-9731-78F1BFCEC192}" done="0">
    <text xml:space="preserve">winter 2026 term
Tuition: $4.408.42 Winter Term 2026
</text>
  </threadedComment>
  <threadedComment ref="K40" dT="2026-01-20T15:26:57.05Z" personId="{8D27A2C6-AB1B-1D69-234E-97DC562060AA}" id="{C6C2D90E-860D-4940-80C8-1A10D751E16C}" done="0">
    <text xml:space="preserve">Funding for program fees
</text>
  </threadedComment>
  <threadedComment ref="O41" dT="2026-02-20T23:59:30.29Z" personId="{8D27A2C6-AB1B-1D69-234E-97DC562060AA}" id="{CDD25668-A449-4619-B976-F422A4658D4D}" done="0">
    <text xml:space="preserve">Living Allowance Payments:
January 2026 $300
February 2026 $300
March 2026 $300
April 2026 $300
May 2026 $300
June 2026 $300
Total: $1800.00
Expected for  fiscal year: Jan-Feb total: $600.00
Expected Carry Over: March-June Payments total: $1,200.00
</text>
  </threadedComment>
  <threadedComment ref="J41" dT="2026-02-09T19:57:53.57Z" personId="{451FF4F9-53D8-93AE-429A-0E492209F6EF}" id="{8008DDD3-2C10-A9F7-A22E-11486BA8508D}" done="0">
    <text xml:space="preserve">$300/month from Jan 2026 to June 2026
$300:February 26, 2026
$300: March 10, 2026
</text>
  </threadedComment>
  <threadedComment ref="H7" dT="2025-11-19T19:12:40.51Z" personId="{451FF4F9-53D8-93AE-429A-0E492209F6EF}" id="{8161CBE8-058A-4A5D-BD52-F223D0B31B65}" done="0">
    <text xml:space="preserve">winter 2026 term: November 21, 2025
</text>
  </threadedComment>
  <threadedComment ref="I7" dT="2025-11-19T18:55:10.27Z" personId="{0279B1F7-DB80-EE26-83F7-99FDC0821971}" id="{A36D8DB9-296A-455B-996E-57836ACB26EC}" done="0">
    <text xml:space="preserve">pointe shoes reimbursement
</text>
  </threadedComment>
  <threadedComment ref="J7" dT="2025-11-19T18:57:13.51Z" personId="{0279B1F7-DB80-EE26-83F7-99FDC0821971}" id="{7D28DA1D-BC90-42D8-83ED-ABA8E2F1F1CC}" done="0">
    <text xml:space="preserve">1,400 from november to june 2026
</text>
  </threadedComment>
  <threadedComment ref="H9" dT="2026-03-26T17:36:29.93Z" personId="{451FF4F9-53D8-93AE-429A-0E492209F6EF}" id="{7CB9BCB5-5A0D-8881-7AFA-866BCE5E223D}" done="0">
    <text xml:space="preserve">$8,660: Tuition December 9, 2025
</text>
  </threadedComment>
  <threadedComment ref="H10" dT="2025-12-23T16:03:55.68Z" personId="{0279B1F7-DB80-EE26-83F7-99FDC0821971}" id="{9C55E438-786F-A297-A1F8-514F7A92208D}" done="0">
    <text xml:space="preserve">Housing Rental - 4 Bedroom (Winter 2026 semester)
$ 3,186.50
Residence Life Fee (Winter 2026 semester)
$ 55.00
Residence Infrastructure Fee (Winter 2026 semester)
$35.00
Meal Plan - 7 day (Winter 2026 semester)
$ 3,342.00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G27" zoomScale="85" workbookViewId="0">
      <selection activeCell="O14" activeCellId="0" sqref="O14"/>
    </sheetView>
  </sheetViews>
  <sheetFormatPr defaultRowHeight="14.25"/>
  <cols>
    <col customWidth="1" min="1" max="1" width="22.08984375"/>
    <col bestFit="1" customWidth="1" min="2" max="2" width="16.6328125"/>
    <col customWidth="1" min="3" max="3" style="1" width="13.90625"/>
    <col customWidth="1" min="4" max="4" width="22.36328125"/>
    <col customWidth="1" min="5" max="5" width="19.90625"/>
    <col bestFit="1" customWidth="1" min="6" max="6" width="25.08984375"/>
    <col bestFit="1" customWidth="1" min="7" max="7" width="40.5234375"/>
    <col customWidth="1" min="8" max="9" width="12.453125"/>
    <col customWidth="1" min="10" max="11" width="11.90625"/>
    <col customWidth="1" min="12" max="12" width="12.453125"/>
    <col customWidth="1" min="13" max="13" width="19.90625"/>
    <col customWidth="1" min="14" max="15" width="12.453125"/>
    <col customWidth="1" min="16" max="16" width="22"/>
  </cols>
  <sheetData>
    <row r="1" ht="31.25" customHeight="1">
      <c r="A1" s="2" t="s">
        <v>0</v>
      </c>
      <c r="B1" s="2"/>
      <c r="C1" s="3"/>
      <c r="D1" s="3"/>
      <c r="E1" s="3"/>
      <c r="F1" s="4" t="s">
        <v>1</v>
      </c>
      <c r="G1" s="4"/>
      <c r="H1" s="5"/>
      <c r="I1" s="5"/>
      <c r="J1" s="5"/>
      <c r="K1" s="5"/>
      <c r="L1" s="5"/>
      <c r="M1" s="6" t="s">
        <v>2</v>
      </c>
      <c r="N1" s="6"/>
      <c r="O1" s="6"/>
      <c r="P1" s="5"/>
    </row>
    <row r="2" ht="42.75">
      <c r="A2" s="7" t="s">
        <v>3</v>
      </c>
      <c r="B2" s="7" t="s">
        <v>4</v>
      </c>
      <c r="C2" s="8" t="s">
        <v>5</v>
      </c>
      <c r="D2" s="9" t="s">
        <v>6</v>
      </c>
      <c r="E2" s="10" t="s">
        <v>7</v>
      </c>
      <c r="F2" s="11" t="s">
        <v>8</v>
      </c>
      <c r="G2" s="10" t="s">
        <v>9</v>
      </c>
      <c r="H2" s="8" t="s">
        <v>10</v>
      </c>
      <c r="I2" s="8" t="s">
        <v>11</v>
      </c>
      <c r="J2" s="8" t="s">
        <v>12</v>
      </c>
      <c r="K2" s="12" t="s">
        <v>13</v>
      </c>
      <c r="L2" s="10" t="s">
        <v>14</v>
      </c>
      <c r="M2" s="10" t="s">
        <v>15</v>
      </c>
      <c r="N2" s="10" t="s">
        <v>16</v>
      </c>
      <c r="O2" s="13" t="s">
        <v>17</v>
      </c>
      <c r="P2" s="10" t="s">
        <v>18</v>
      </c>
    </row>
    <row r="3">
      <c r="A3" s="14"/>
      <c r="B3" s="14"/>
      <c r="C3" s="15"/>
      <c r="D3" s="15"/>
      <c r="E3" s="16"/>
      <c r="F3" s="15"/>
      <c r="G3" s="16"/>
      <c r="H3" s="17" t="s">
        <v>19</v>
      </c>
      <c r="I3" s="18"/>
      <c r="J3" s="18"/>
      <c r="K3" s="19"/>
      <c r="L3" s="20">
        <v>130.08000000000001</v>
      </c>
      <c r="M3" s="16"/>
      <c r="N3" s="16"/>
      <c r="O3" s="21"/>
      <c r="P3" s="16"/>
    </row>
    <row r="4">
      <c r="A4" s="22"/>
      <c r="B4" s="22"/>
      <c r="C4" s="23"/>
      <c r="D4" s="24"/>
      <c r="E4" s="24"/>
      <c r="F4" s="25"/>
      <c r="G4" s="23"/>
      <c r="H4" s="26" t="s">
        <v>20</v>
      </c>
      <c r="I4" s="27"/>
      <c r="J4" s="27"/>
      <c r="K4" s="28"/>
      <c r="L4" s="29">
        <v>35000</v>
      </c>
      <c r="M4" s="30"/>
      <c r="N4" s="30"/>
      <c r="O4" s="30"/>
      <c r="P4" s="31"/>
    </row>
    <row r="5" s="32" customFormat="1">
      <c r="A5" s="33" t="s">
        <v>21</v>
      </c>
      <c r="B5" s="33" t="s">
        <v>22</v>
      </c>
      <c r="C5" s="34"/>
      <c r="D5" s="34"/>
      <c r="E5" s="35" t="s">
        <v>23</v>
      </c>
      <c r="F5" s="33" t="s">
        <v>24</v>
      </c>
      <c r="G5" s="33" t="s">
        <v>25</v>
      </c>
      <c r="H5" s="36">
        <v>8553.5200000000004</v>
      </c>
      <c r="I5" s="36"/>
      <c r="J5" s="36">
        <v>3900</v>
      </c>
      <c r="K5" s="37"/>
      <c r="L5" s="36">
        <f t="shared" ref="L5:L10" si="0">SUM(H5:K5)</f>
        <v>12453.52</v>
      </c>
      <c r="M5" s="38">
        <v>45807</v>
      </c>
      <c r="N5" s="38"/>
      <c r="O5" s="38"/>
      <c r="P5" s="39"/>
    </row>
    <row r="6" s="32" customFormat="1">
      <c r="A6" s="33" t="s">
        <v>26</v>
      </c>
      <c r="B6" s="33" t="s">
        <v>27</v>
      </c>
      <c r="C6" s="40">
        <v>45689</v>
      </c>
      <c r="D6" s="40">
        <v>45809</v>
      </c>
      <c r="E6" s="35" t="s">
        <v>23</v>
      </c>
      <c r="F6" s="33" t="s">
        <v>28</v>
      </c>
      <c r="G6" s="33" t="s">
        <v>29</v>
      </c>
      <c r="H6" s="41"/>
      <c r="I6" s="42"/>
      <c r="J6" s="42">
        <v>8000</v>
      </c>
      <c r="K6" s="42"/>
      <c r="L6" s="41">
        <f t="shared" si="0"/>
        <v>8000</v>
      </c>
      <c r="M6" s="38"/>
      <c r="N6" s="38"/>
      <c r="O6" s="38"/>
      <c r="P6" s="43"/>
    </row>
    <row r="7" s="32" customFormat="1" ht="47" customHeight="1">
      <c r="A7" s="33" t="s">
        <v>26</v>
      </c>
      <c r="B7" s="33" t="s">
        <v>27</v>
      </c>
      <c r="C7" s="40">
        <v>45902</v>
      </c>
      <c r="D7" s="40">
        <v>46203</v>
      </c>
      <c r="E7" s="35" t="s">
        <v>23</v>
      </c>
      <c r="F7" s="33" t="s">
        <v>28</v>
      </c>
      <c r="G7" s="33" t="s">
        <v>29</v>
      </c>
      <c r="H7" s="44">
        <v>4526.79</v>
      </c>
      <c r="I7" s="45">
        <v>277.64999999999998</v>
      </c>
      <c r="J7" s="46">
        <v>11200</v>
      </c>
      <c r="K7" s="42"/>
      <c r="L7" s="47">
        <f t="shared" si="0"/>
        <v>16004.439999999999</v>
      </c>
      <c r="M7" s="38">
        <v>45982</v>
      </c>
      <c r="N7" s="38">
        <v>45980</v>
      </c>
      <c r="O7" s="48" t="s">
        <v>30</v>
      </c>
      <c r="P7" s="43"/>
    </row>
    <row r="8" s="32" customFormat="1" ht="47" customHeight="1">
      <c r="A8" s="33" t="s">
        <v>26</v>
      </c>
      <c r="B8" s="33" t="s">
        <v>27</v>
      </c>
      <c r="C8" s="40">
        <v>45902</v>
      </c>
      <c r="D8" s="40">
        <v>46203</v>
      </c>
      <c r="E8" s="35" t="s">
        <v>23</v>
      </c>
      <c r="F8" s="33" t="s">
        <v>28</v>
      </c>
      <c r="G8" s="33" t="s">
        <v>29</v>
      </c>
      <c r="H8" s="44"/>
      <c r="I8" s="45"/>
      <c r="J8" s="46">
        <v>-4200</v>
      </c>
      <c r="K8" s="42"/>
      <c r="L8" s="47"/>
      <c r="M8" s="49" t="s">
        <v>31</v>
      </c>
      <c r="N8" s="38"/>
      <c r="O8" s="48"/>
      <c r="P8" s="43"/>
    </row>
    <row r="9" s="32" customFormat="1">
      <c r="A9" s="33" t="s">
        <v>32</v>
      </c>
      <c r="B9" s="33" t="s">
        <v>33</v>
      </c>
      <c r="C9" s="40">
        <v>45994</v>
      </c>
      <c r="D9" s="40">
        <v>46142</v>
      </c>
      <c r="E9" s="35" t="s">
        <v>23</v>
      </c>
      <c r="F9" s="33" t="s">
        <v>34</v>
      </c>
      <c r="G9" s="33" t="s">
        <v>35</v>
      </c>
      <c r="H9" s="41">
        <v>8660</v>
      </c>
      <c r="I9" s="42"/>
      <c r="J9" s="42"/>
      <c r="K9" s="42"/>
      <c r="L9" s="47">
        <f t="shared" si="0"/>
        <v>8660</v>
      </c>
      <c r="M9" s="38">
        <v>46000</v>
      </c>
      <c r="N9" s="38"/>
      <c r="O9" s="38"/>
      <c r="P9" s="43"/>
    </row>
    <row r="10" s="32" customFormat="1">
      <c r="A10" s="33" t="s">
        <v>36</v>
      </c>
      <c r="B10" s="33" t="s">
        <v>37</v>
      </c>
      <c r="C10" s="40">
        <v>46030</v>
      </c>
      <c r="D10" s="40">
        <v>46137</v>
      </c>
      <c r="E10" s="35" t="s">
        <v>23</v>
      </c>
      <c r="F10" s="33" t="s">
        <v>38</v>
      </c>
      <c r="G10" s="33" t="s">
        <v>39</v>
      </c>
      <c r="H10" s="44">
        <v>6618.5</v>
      </c>
      <c r="I10" s="42"/>
      <c r="J10" s="42"/>
      <c r="K10" s="42"/>
      <c r="L10" s="47">
        <f t="shared" si="0"/>
        <v>6618.5</v>
      </c>
      <c r="M10" s="38">
        <v>46064</v>
      </c>
      <c r="N10" s="38"/>
      <c r="O10" s="38"/>
      <c r="P10" s="43"/>
    </row>
    <row r="11" s="32" customFormat="1" ht="27">
      <c r="A11" s="33" t="s">
        <v>40</v>
      </c>
      <c r="B11" s="33" t="s">
        <v>41</v>
      </c>
      <c r="C11" s="40">
        <v>46027</v>
      </c>
      <c r="D11" s="40">
        <v>46137</v>
      </c>
      <c r="E11" s="35" t="s">
        <v>23</v>
      </c>
      <c r="F11" s="33" t="s">
        <v>42</v>
      </c>
      <c r="G11" s="50" t="s">
        <v>43</v>
      </c>
      <c r="H11" s="41"/>
      <c r="I11" s="42">
        <v>437.19</v>
      </c>
      <c r="J11" s="42"/>
      <c r="K11" s="42"/>
      <c r="L11" s="47">
        <f t="shared" ref="L11:L21" si="1">SUM(H11:K11)</f>
        <v>437.19</v>
      </c>
      <c r="M11" s="38"/>
      <c r="N11" s="38">
        <v>46037</v>
      </c>
      <c r="O11" s="38"/>
      <c r="P11" s="43"/>
    </row>
    <row r="12" s="32" customFormat="1" ht="27">
      <c r="A12" s="33" t="s">
        <v>44</v>
      </c>
      <c r="B12" s="33" t="s">
        <v>45</v>
      </c>
      <c r="C12" s="40">
        <v>46041</v>
      </c>
      <c r="D12" s="40">
        <v>46136</v>
      </c>
      <c r="E12" s="35" t="s">
        <v>23</v>
      </c>
      <c r="F12" s="33" t="s">
        <v>28</v>
      </c>
      <c r="G12" s="50" t="s">
        <v>46</v>
      </c>
      <c r="H12" s="51">
        <v>10865.299999999999</v>
      </c>
      <c r="I12" s="52">
        <v>180</v>
      </c>
      <c r="J12" s="42"/>
      <c r="K12" s="42">
        <v>45</v>
      </c>
      <c r="L12" s="47">
        <f t="shared" si="1"/>
        <v>11090.299999999999</v>
      </c>
      <c r="M12" s="38"/>
      <c r="N12" s="38"/>
      <c r="O12" s="38"/>
      <c r="P12" s="43"/>
    </row>
    <row r="13">
      <c r="A13" s="53" t="s">
        <v>47</v>
      </c>
      <c r="B13" s="53" t="s">
        <v>48</v>
      </c>
      <c r="C13" s="34">
        <v>46041</v>
      </c>
      <c r="D13" s="34">
        <v>46113</v>
      </c>
      <c r="E13" s="54" t="s">
        <v>23</v>
      </c>
      <c r="F13" s="53" t="s">
        <v>49</v>
      </c>
      <c r="G13" s="53" t="s">
        <v>50</v>
      </c>
      <c r="H13" s="41">
        <v>3109.77</v>
      </c>
      <c r="I13" s="55">
        <v>360.44</v>
      </c>
      <c r="J13" s="56">
        <v>3300</v>
      </c>
      <c r="K13" s="55"/>
      <c r="L13" s="47">
        <f t="shared" si="1"/>
        <v>6770.21</v>
      </c>
      <c r="M13" s="38" t="s">
        <v>51</v>
      </c>
      <c r="N13" s="38" t="s">
        <v>52</v>
      </c>
      <c r="O13" s="38" t="s">
        <v>53</v>
      </c>
      <c r="P13" s="57"/>
    </row>
    <row r="14">
      <c r="A14" s="53" t="s">
        <v>47</v>
      </c>
      <c r="B14" s="53" t="s">
        <v>48</v>
      </c>
      <c r="C14" s="34">
        <v>46041</v>
      </c>
      <c r="D14" s="34">
        <v>46113</v>
      </c>
      <c r="E14" s="54" t="s">
        <v>23</v>
      </c>
      <c r="F14" s="53" t="s">
        <v>49</v>
      </c>
      <c r="G14" s="53" t="s">
        <v>50</v>
      </c>
      <c r="H14" s="41"/>
      <c r="I14" s="55"/>
      <c r="J14" s="56">
        <v>-1100</v>
      </c>
      <c r="K14" s="55"/>
      <c r="L14" s="47"/>
      <c r="M14" s="49" t="s">
        <v>54</v>
      </c>
      <c r="N14" s="38"/>
      <c r="O14" s="38"/>
      <c r="P14" s="57"/>
    </row>
    <row r="15" ht="229.5">
      <c r="A15" s="53" t="s">
        <v>55</v>
      </c>
      <c r="B15" s="53" t="s">
        <v>56</v>
      </c>
      <c r="C15" s="34">
        <v>46009</v>
      </c>
      <c r="D15" s="34">
        <v>46374</v>
      </c>
      <c r="E15" s="54" t="s">
        <v>57</v>
      </c>
      <c r="F15" s="54" t="s">
        <v>58</v>
      </c>
      <c r="G15" s="53" t="s">
        <v>58</v>
      </c>
      <c r="H15" s="41"/>
      <c r="I15" s="55"/>
      <c r="J15" s="58">
        <v>24000</v>
      </c>
      <c r="K15" s="58">
        <v>6800</v>
      </c>
      <c r="L15" s="47">
        <f t="shared" si="1"/>
        <v>30800</v>
      </c>
      <c r="M15" s="38"/>
      <c r="N15" s="48" t="s">
        <v>59</v>
      </c>
      <c r="O15" s="48" t="s">
        <v>60</v>
      </c>
      <c r="P15" s="57"/>
    </row>
    <row r="16" ht="229.5">
      <c r="A16" s="53" t="s">
        <v>55</v>
      </c>
      <c r="B16" s="53" t="s">
        <v>56</v>
      </c>
      <c r="C16" s="34">
        <v>46009</v>
      </c>
      <c r="D16" s="34">
        <v>46374</v>
      </c>
      <c r="E16" s="54" t="s">
        <v>57</v>
      </c>
      <c r="F16" s="54" t="s">
        <v>58</v>
      </c>
      <c r="G16" s="53" t="s">
        <v>58</v>
      </c>
      <c r="H16" s="41"/>
      <c r="I16" s="55"/>
      <c r="J16" s="59">
        <v>-16000</v>
      </c>
      <c r="K16" s="58">
        <v>-4288.5900000000001</v>
      </c>
      <c r="L16" s="47"/>
      <c r="M16" s="38"/>
      <c r="N16" s="48"/>
      <c r="O16" s="48"/>
      <c r="P16" s="57"/>
    </row>
    <row r="17" ht="54">
      <c r="A17" s="53" t="s">
        <v>61</v>
      </c>
      <c r="B17" s="53" t="s">
        <v>62</v>
      </c>
      <c r="C17" s="34">
        <v>46027</v>
      </c>
      <c r="D17" s="34">
        <v>46122</v>
      </c>
      <c r="E17" s="54" t="s">
        <v>23</v>
      </c>
      <c r="F17" s="54" t="s">
        <v>63</v>
      </c>
      <c r="G17" s="60" t="s">
        <v>64</v>
      </c>
      <c r="H17" s="41">
        <v>90</v>
      </c>
      <c r="I17" s="55">
        <v>60.890000000000001</v>
      </c>
      <c r="J17" s="55"/>
      <c r="K17" s="55">
        <v>369.72000000000003</v>
      </c>
      <c r="L17" s="47">
        <f t="shared" si="1"/>
        <v>520.61000000000001</v>
      </c>
      <c r="M17" s="38"/>
      <c r="N17" s="38">
        <v>46065</v>
      </c>
      <c r="O17" s="48" t="s">
        <v>65</v>
      </c>
      <c r="P17" s="57"/>
    </row>
    <row r="18">
      <c r="A18" s="53" t="s">
        <v>61</v>
      </c>
      <c r="B18" s="53" t="s">
        <v>62</v>
      </c>
      <c r="C18" s="34">
        <v>46027</v>
      </c>
      <c r="D18" s="34">
        <v>46122</v>
      </c>
      <c r="E18" s="54" t="s">
        <v>23</v>
      </c>
      <c r="F18" s="53" t="s">
        <v>63</v>
      </c>
      <c r="G18" s="53" t="s">
        <v>64</v>
      </c>
      <c r="H18" s="41"/>
      <c r="I18" s="55"/>
      <c r="J18" s="55"/>
      <c r="K18" s="61">
        <v>-60.479999999999997</v>
      </c>
      <c r="L18" s="47">
        <f t="shared" si="1"/>
        <v>-60.479999999999997</v>
      </c>
      <c r="M18" s="49" t="s">
        <v>66</v>
      </c>
      <c r="N18" s="49"/>
      <c r="O18" s="38"/>
      <c r="P18" s="57"/>
    </row>
    <row r="19">
      <c r="A19" s="53"/>
      <c r="B19" s="53"/>
      <c r="C19" s="34"/>
      <c r="D19" s="34"/>
      <c r="E19" s="54"/>
      <c r="F19" s="53"/>
      <c r="G19" s="53"/>
      <c r="H19" s="41"/>
      <c r="I19" s="55"/>
      <c r="J19" s="55"/>
      <c r="K19" s="55"/>
      <c r="L19" s="47">
        <f t="shared" si="1"/>
        <v>0</v>
      </c>
      <c r="M19" s="38"/>
      <c r="N19" s="38"/>
      <c r="O19" s="38"/>
      <c r="P19" s="57"/>
    </row>
    <row r="20">
      <c r="A20" s="53"/>
      <c r="B20" s="53"/>
      <c r="C20" s="34"/>
      <c r="D20" s="34"/>
      <c r="E20" s="54"/>
      <c r="F20" s="53"/>
      <c r="G20" s="53"/>
      <c r="H20" s="47"/>
      <c r="I20" s="47"/>
      <c r="J20" s="47"/>
      <c r="K20" s="55"/>
      <c r="L20" s="47">
        <f t="shared" si="1"/>
        <v>0</v>
      </c>
      <c r="M20" s="38"/>
      <c r="N20" s="38"/>
      <c r="O20" s="38"/>
      <c r="P20" s="62"/>
    </row>
    <row r="21">
      <c r="A21" s="53"/>
      <c r="B21" s="53"/>
      <c r="C21" s="34"/>
      <c r="D21" s="34"/>
      <c r="E21" s="54"/>
      <c r="F21" s="54"/>
      <c r="G21" s="53"/>
      <c r="H21" s="63"/>
      <c r="I21" s="63"/>
      <c r="J21" s="63"/>
      <c r="K21" s="63"/>
      <c r="L21" s="64">
        <f t="shared" si="1"/>
        <v>0</v>
      </c>
      <c r="M21" s="65"/>
      <c r="N21" s="65"/>
      <c r="O21" s="65"/>
      <c r="P21" s="66"/>
    </row>
    <row r="22">
      <c r="A22" s="67"/>
      <c r="B22" s="67"/>
      <c r="C22" s="68"/>
      <c r="D22" s="69"/>
      <c r="E22" s="70"/>
      <c r="F22" s="70"/>
      <c r="G22" s="71"/>
      <c r="H22" s="72">
        <f>SUM(H5:H21)</f>
        <v>42423.879999999997</v>
      </c>
      <c r="I22" s="72">
        <f>SUM(I5:I21)</f>
        <v>1316.1700000000001</v>
      </c>
      <c r="J22" s="72">
        <f>SUM(J5:J21)</f>
        <v>29100</v>
      </c>
      <c r="K22" s="72">
        <f>SUM(K5:K21)</f>
        <v>2865.6500000000001</v>
      </c>
      <c r="L22" s="72">
        <f>SUM(L5:L21)</f>
        <v>101294.29000000001</v>
      </c>
      <c r="M22" s="73"/>
      <c r="N22" s="73"/>
      <c r="O22" s="73"/>
      <c r="P22" s="73"/>
    </row>
    <row r="23">
      <c r="A23" s="74"/>
      <c r="B23" s="74"/>
      <c r="C23" s="75"/>
      <c r="D23" s="76"/>
      <c r="E23" s="74"/>
      <c r="F23" s="74"/>
      <c r="G23" s="74"/>
      <c r="H23" s="77" t="s">
        <v>67</v>
      </c>
      <c r="I23" s="77"/>
      <c r="J23" s="77"/>
      <c r="K23" s="77"/>
      <c r="L23" s="78">
        <f>L4-L22</f>
        <v>-66294.290000000008</v>
      </c>
      <c r="M23" s="74"/>
      <c r="N23" s="74"/>
      <c r="O23" s="74"/>
      <c r="P23" s="74"/>
    </row>
    <row r="24">
      <c r="A24" s="74"/>
      <c r="B24" s="74"/>
      <c r="C24" s="79"/>
      <c r="D24" s="74"/>
      <c r="E24" s="74"/>
      <c r="F24" s="74"/>
      <c r="G24" s="74"/>
      <c r="H24" s="80"/>
      <c r="I24" s="80"/>
      <c r="J24" s="80"/>
      <c r="K24" s="80"/>
      <c r="L24" s="80"/>
      <c r="M24" s="74"/>
      <c r="N24" s="74"/>
      <c r="O24" s="74"/>
      <c r="P24" s="74"/>
    </row>
    <row r="25" ht="31.25" customHeight="1">
      <c r="A25" s="2" t="s">
        <v>68</v>
      </c>
      <c r="B25" s="2"/>
      <c r="C25" s="3"/>
      <c r="D25" s="3"/>
      <c r="E25" s="3"/>
      <c r="F25" s="81" t="s">
        <v>69</v>
      </c>
      <c r="G25" s="81"/>
      <c r="H25" s="5"/>
      <c r="I25" s="5"/>
      <c r="J25" s="5"/>
      <c r="K25" s="5"/>
      <c r="L25" s="5"/>
      <c r="M25" s="82" t="s">
        <v>2</v>
      </c>
      <c r="N25" s="82"/>
      <c r="O25" s="82"/>
      <c r="P25" s="5"/>
    </row>
    <row r="26" ht="42.75">
      <c r="A26" s="7" t="s">
        <v>70</v>
      </c>
      <c r="B26" s="7" t="s">
        <v>71</v>
      </c>
      <c r="C26" s="8" t="s">
        <v>5</v>
      </c>
      <c r="D26" s="9" t="s">
        <v>6</v>
      </c>
      <c r="E26" s="10" t="s">
        <v>7</v>
      </c>
      <c r="F26" s="11" t="s">
        <v>8</v>
      </c>
      <c r="G26" s="10" t="s">
        <v>9</v>
      </c>
      <c r="H26" s="8" t="s">
        <v>10</v>
      </c>
      <c r="I26" s="8" t="s">
        <v>11</v>
      </c>
      <c r="J26" s="83" t="s">
        <v>12</v>
      </c>
      <c r="K26" s="12" t="s">
        <v>13</v>
      </c>
      <c r="L26" s="10" t="s">
        <v>14</v>
      </c>
      <c r="M26" s="10" t="s">
        <v>15</v>
      </c>
      <c r="N26" s="10" t="s">
        <v>16</v>
      </c>
      <c r="O26" s="13" t="s">
        <v>17</v>
      </c>
      <c r="P26" s="10" t="s">
        <v>18</v>
      </c>
    </row>
    <row r="27">
      <c r="A27" s="14"/>
      <c r="B27" s="14"/>
      <c r="C27" s="15"/>
      <c r="D27" s="15"/>
      <c r="E27" s="16"/>
      <c r="F27" s="15"/>
      <c r="G27" s="16"/>
      <c r="H27" s="17" t="s">
        <v>19</v>
      </c>
      <c r="I27" s="18"/>
      <c r="J27" s="18"/>
      <c r="K27" s="19"/>
      <c r="L27" s="84"/>
      <c r="M27" s="16"/>
      <c r="N27" s="16"/>
      <c r="O27" s="21"/>
      <c r="P27" s="16"/>
    </row>
    <row r="28">
      <c r="A28" s="85"/>
      <c r="B28" s="85"/>
      <c r="C28" s="31"/>
      <c r="D28" s="86"/>
      <c r="E28" s="31"/>
      <c r="F28" s="30"/>
      <c r="G28" s="31"/>
      <c r="H28" s="87" t="s">
        <v>72</v>
      </c>
      <c r="I28" s="87"/>
      <c r="J28" s="87"/>
      <c r="K28" s="87"/>
      <c r="L28" s="88">
        <v>105000</v>
      </c>
      <c r="M28" s="30"/>
      <c r="N28" s="30"/>
      <c r="O28" s="30"/>
      <c r="P28" s="31"/>
    </row>
    <row r="29" s="74" customFormat="1" ht="15.9" customHeight="1">
      <c r="A29" s="54" t="s">
        <v>73</v>
      </c>
      <c r="B29" s="54" t="s">
        <v>74</v>
      </c>
      <c r="C29" s="34">
        <v>45748</v>
      </c>
      <c r="D29" s="34">
        <v>46022</v>
      </c>
      <c r="E29" s="54" t="s">
        <v>23</v>
      </c>
      <c r="F29" s="54" t="s">
        <v>75</v>
      </c>
      <c r="G29" s="53" t="s">
        <v>76</v>
      </c>
      <c r="H29" s="55">
        <v>15924.92</v>
      </c>
      <c r="I29" s="55"/>
      <c r="J29" s="55">
        <v>35000</v>
      </c>
      <c r="K29" s="55"/>
      <c r="L29" s="89">
        <f t="shared" ref="L29:L42" si="2">SUM(H29:K29)</f>
        <v>50924.919999999998</v>
      </c>
      <c r="M29" s="90" t="s">
        <v>77</v>
      </c>
      <c r="N29" s="90"/>
      <c r="O29" s="90" t="s">
        <v>78</v>
      </c>
      <c r="P29" s="55"/>
    </row>
    <row r="30" s="74" customFormat="1" ht="15.9" customHeight="1">
      <c r="A30" s="54" t="s">
        <v>79</v>
      </c>
      <c r="B30" s="54" t="s">
        <v>80</v>
      </c>
      <c r="C30" s="34">
        <v>45848</v>
      </c>
      <c r="D30" s="34">
        <v>46142</v>
      </c>
      <c r="E30" s="54" t="s">
        <v>23</v>
      </c>
      <c r="F30" s="54" t="s">
        <v>81</v>
      </c>
      <c r="G30" s="53" t="s">
        <v>82</v>
      </c>
      <c r="H30" s="61">
        <v>12768.5</v>
      </c>
      <c r="I30" s="55"/>
      <c r="J30" s="56">
        <v>4500</v>
      </c>
      <c r="K30" s="55"/>
      <c r="L30" s="89">
        <f t="shared" si="2"/>
        <v>17268.5</v>
      </c>
      <c r="M30" s="90" t="s">
        <v>83</v>
      </c>
      <c r="N30" s="90"/>
      <c r="O30" s="90" t="s">
        <v>84</v>
      </c>
      <c r="P30" s="55"/>
    </row>
    <row r="31" s="74" customFormat="1" ht="15.9" customHeight="1">
      <c r="A31" s="54" t="s">
        <v>79</v>
      </c>
      <c r="B31" s="54" t="s">
        <v>80</v>
      </c>
      <c r="C31" s="34">
        <v>45848</v>
      </c>
      <c r="D31" s="34">
        <v>46142</v>
      </c>
      <c r="E31" s="54" t="s">
        <v>23</v>
      </c>
      <c r="F31" s="54" t="s">
        <v>81</v>
      </c>
      <c r="G31" s="53" t="s">
        <v>82</v>
      </c>
      <c r="H31" s="61">
        <v>-2747.5</v>
      </c>
      <c r="I31" s="55"/>
      <c r="J31" s="56">
        <v>-500</v>
      </c>
      <c r="K31" s="55"/>
      <c r="L31" s="89"/>
      <c r="M31" s="91" t="s">
        <v>85</v>
      </c>
      <c r="N31" s="90"/>
      <c r="O31" s="90"/>
      <c r="P31" s="55"/>
    </row>
    <row r="32" s="74" customFormat="1" ht="15.9" customHeight="1">
      <c r="A32" s="54" t="s">
        <v>86</v>
      </c>
      <c r="B32" s="54" t="s">
        <v>87</v>
      </c>
      <c r="C32" s="34">
        <v>45797</v>
      </c>
      <c r="D32" s="34">
        <v>45929</v>
      </c>
      <c r="E32" s="54" t="s">
        <v>23</v>
      </c>
      <c r="F32" s="54" t="s">
        <v>88</v>
      </c>
      <c r="G32" s="53" t="s">
        <v>89</v>
      </c>
      <c r="H32" s="55">
        <v>15000</v>
      </c>
      <c r="I32" s="55"/>
      <c r="J32" s="55"/>
      <c r="K32" s="55"/>
      <c r="L32" s="89">
        <f t="shared" si="2"/>
        <v>15000</v>
      </c>
      <c r="M32" s="92" t="s">
        <v>90</v>
      </c>
      <c r="N32" s="90"/>
      <c r="O32" s="90"/>
      <c r="P32" s="55"/>
    </row>
    <row r="33" s="74" customFormat="1" ht="15.9" customHeight="1">
      <c r="A33" s="54" t="s">
        <v>91</v>
      </c>
      <c r="B33" s="54" t="s">
        <v>92</v>
      </c>
      <c r="C33" s="34" t="s">
        <v>93</v>
      </c>
      <c r="D33" s="34">
        <v>46142</v>
      </c>
      <c r="E33" s="54" t="s">
        <v>23</v>
      </c>
      <c r="F33" s="54" t="s">
        <v>94</v>
      </c>
      <c r="G33" s="53" t="s">
        <v>95</v>
      </c>
      <c r="H33" s="61">
        <v>6301.3100000000004</v>
      </c>
      <c r="I33" s="55"/>
      <c r="J33" s="93">
        <v>14000</v>
      </c>
      <c r="K33" s="55"/>
      <c r="L33" s="89">
        <f t="shared" si="2"/>
        <v>20301.310000000001</v>
      </c>
      <c r="M33" s="92" t="s">
        <v>96</v>
      </c>
      <c r="N33" s="90"/>
      <c r="O33" s="94" t="s">
        <v>97</v>
      </c>
      <c r="P33" s="55"/>
    </row>
    <row r="34" s="74" customFormat="1" ht="15.9" customHeight="1">
      <c r="A34" s="54" t="s">
        <v>91</v>
      </c>
      <c r="B34" s="54" t="s">
        <v>92</v>
      </c>
      <c r="C34" s="34">
        <v>45901</v>
      </c>
      <c r="D34" s="34">
        <v>46142</v>
      </c>
      <c r="E34" s="54" t="s">
        <v>23</v>
      </c>
      <c r="F34" s="54" t="s">
        <v>94</v>
      </c>
      <c r="G34" s="74" t="s">
        <v>98</v>
      </c>
      <c r="H34" s="55"/>
      <c r="I34" s="55"/>
      <c r="J34" s="56">
        <v>-2000</v>
      </c>
      <c r="K34" s="55"/>
      <c r="L34" s="89"/>
      <c r="M34" s="95" t="s">
        <v>85</v>
      </c>
      <c r="N34" s="90"/>
      <c r="O34" s="94"/>
      <c r="P34" s="55"/>
    </row>
    <row r="35" s="74" customFormat="1" ht="15.9" customHeight="1">
      <c r="A35" s="96" t="s">
        <v>99</v>
      </c>
      <c r="B35" s="54" t="s">
        <v>100</v>
      </c>
      <c r="C35" s="34" t="s">
        <v>93</v>
      </c>
      <c r="D35" s="34">
        <v>46113</v>
      </c>
      <c r="E35" s="54" t="s">
        <v>23</v>
      </c>
      <c r="F35" s="54" t="s">
        <v>94</v>
      </c>
      <c r="G35" s="97" t="s">
        <v>101</v>
      </c>
      <c r="H35" s="98">
        <v>4801.9300000000003</v>
      </c>
      <c r="I35" s="58">
        <v>145</v>
      </c>
      <c r="J35" s="58">
        <v>8400</v>
      </c>
      <c r="K35" s="55"/>
      <c r="L35" s="89">
        <f t="shared" si="2"/>
        <v>13346.93</v>
      </c>
      <c r="M35" s="94" t="s">
        <v>102</v>
      </c>
      <c r="N35" s="99" t="s">
        <v>103</v>
      </c>
      <c r="O35" s="94" t="s">
        <v>104</v>
      </c>
      <c r="P35" s="55"/>
    </row>
    <row r="36" s="74" customFormat="1" ht="15.9" customHeight="1">
      <c r="A36" s="96" t="s">
        <v>99</v>
      </c>
      <c r="B36" s="54" t="s">
        <v>100</v>
      </c>
      <c r="C36" s="34">
        <v>45903</v>
      </c>
      <c r="D36" s="100">
        <v>46141</v>
      </c>
      <c r="E36" s="54" t="s">
        <v>23</v>
      </c>
      <c r="F36" s="54" t="s">
        <v>94</v>
      </c>
      <c r="G36" s="97" t="s">
        <v>101</v>
      </c>
      <c r="H36" s="98"/>
      <c r="I36" s="58"/>
      <c r="J36" s="58">
        <v>-1200</v>
      </c>
      <c r="K36" s="55"/>
      <c r="L36" s="89"/>
      <c r="M36" s="101" t="s">
        <v>85</v>
      </c>
      <c r="N36" s="99"/>
      <c r="O36" s="94"/>
      <c r="P36" s="55"/>
    </row>
    <row r="37" s="74" customFormat="1" ht="40.5">
      <c r="A37" s="54" t="s">
        <v>105</v>
      </c>
      <c r="B37" s="54" t="s">
        <v>106</v>
      </c>
      <c r="C37" s="34" t="s">
        <v>93</v>
      </c>
      <c r="D37" s="100">
        <v>46138</v>
      </c>
      <c r="E37" s="53" t="s">
        <v>23</v>
      </c>
      <c r="F37" s="54" t="s">
        <v>94</v>
      </c>
      <c r="G37" s="102" t="s">
        <v>107</v>
      </c>
      <c r="H37" s="98">
        <v>5744.9200000000001</v>
      </c>
      <c r="I37" s="103">
        <v>98.859999999999999</v>
      </c>
      <c r="J37" s="55" t="s">
        <v>108</v>
      </c>
      <c r="K37" s="55"/>
      <c r="L37" s="89">
        <f t="shared" si="2"/>
        <v>5843.7799999999997</v>
      </c>
      <c r="M37" s="94" t="s">
        <v>109</v>
      </c>
      <c r="N37" s="99">
        <v>45918</v>
      </c>
      <c r="O37" s="90"/>
      <c r="P37" s="55"/>
    </row>
    <row r="38" s="74" customFormat="1" ht="108">
      <c r="A38" s="54" t="s">
        <v>110</v>
      </c>
      <c r="B38" s="54" t="s">
        <v>111</v>
      </c>
      <c r="C38" s="104">
        <v>45903</v>
      </c>
      <c r="D38" s="105">
        <v>46126</v>
      </c>
      <c r="E38" s="106" t="s">
        <v>23</v>
      </c>
      <c r="F38" s="107" t="s">
        <v>94</v>
      </c>
      <c r="G38" s="53" t="s">
        <v>112</v>
      </c>
      <c r="H38" s="108">
        <v>4408.4200000000001</v>
      </c>
      <c r="I38" s="55"/>
      <c r="J38" s="55"/>
      <c r="K38" s="109">
        <v>8073.6000000000004</v>
      </c>
      <c r="L38" s="89">
        <f t="shared" si="2"/>
        <v>12482.02</v>
      </c>
      <c r="M38" s="90" t="s">
        <v>113</v>
      </c>
      <c r="N38" s="90"/>
      <c r="O38" s="94" t="s">
        <v>114</v>
      </c>
      <c r="P38" s="55"/>
    </row>
    <row r="39" s="74" customFormat="1" ht="108">
      <c r="A39" s="54" t="s">
        <v>110</v>
      </c>
      <c r="B39" s="54" t="s">
        <v>111</v>
      </c>
      <c r="C39" s="104">
        <v>45903</v>
      </c>
      <c r="D39" s="110">
        <v>46126</v>
      </c>
      <c r="E39" s="111" t="s">
        <v>23</v>
      </c>
      <c r="F39" s="107" t="s">
        <v>94</v>
      </c>
      <c r="G39" s="74" t="s">
        <v>112</v>
      </c>
      <c r="H39" s="108"/>
      <c r="I39" s="55"/>
      <c r="J39" s="55"/>
      <c r="K39" s="112">
        <v>-1728</v>
      </c>
      <c r="L39" s="89"/>
      <c r="M39" s="91" t="s">
        <v>115</v>
      </c>
      <c r="N39" s="91"/>
      <c r="O39" s="94"/>
      <c r="P39" s="55"/>
    </row>
    <row r="40" s="74" customFormat="1" ht="13">
      <c r="A40" s="54" t="s">
        <v>116</v>
      </c>
      <c r="B40" s="54" t="s">
        <v>117</v>
      </c>
      <c r="C40" s="104">
        <v>45999</v>
      </c>
      <c r="D40" s="110">
        <v>46138</v>
      </c>
      <c r="E40" s="113" t="s">
        <v>23</v>
      </c>
      <c r="F40" s="54" t="s">
        <v>94</v>
      </c>
      <c r="G40" s="114" t="s">
        <v>118</v>
      </c>
      <c r="H40" s="115">
        <v>5134.4700000000003</v>
      </c>
      <c r="I40" s="115">
        <v>1650</v>
      </c>
      <c r="J40" s="55"/>
      <c r="K40" s="115">
        <v>1410.6900000000001</v>
      </c>
      <c r="L40" s="89">
        <f t="shared" si="2"/>
        <v>8195.1599999999999</v>
      </c>
      <c r="M40" s="90"/>
      <c r="N40" s="90"/>
      <c r="O40" s="90"/>
      <c r="P40" s="55"/>
    </row>
    <row r="41" s="74" customFormat="1" ht="27">
      <c r="A41" s="54" t="s">
        <v>119</v>
      </c>
      <c r="B41" s="54" t="s">
        <v>120</v>
      </c>
      <c r="C41" s="34">
        <v>46027</v>
      </c>
      <c r="D41" s="116">
        <v>46191</v>
      </c>
      <c r="E41" s="54" t="s">
        <v>23</v>
      </c>
      <c r="F41" s="117" t="s">
        <v>63</v>
      </c>
      <c r="G41" s="118" t="s">
        <v>121</v>
      </c>
      <c r="H41" s="55"/>
      <c r="I41" s="55"/>
      <c r="J41" s="109">
        <v>1800</v>
      </c>
      <c r="K41" s="55"/>
      <c r="L41" s="89">
        <f t="shared" si="2"/>
        <v>1800</v>
      </c>
      <c r="M41" s="90"/>
      <c r="N41" s="90"/>
      <c r="O41" s="90" t="s">
        <v>122</v>
      </c>
      <c r="P41" s="55"/>
    </row>
    <row r="42" s="74" customFormat="1" ht="13">
      <c r="A42" s="54" t="s">
        <v>119</v>
      </c>
      <c r="B42" s="54" t="s">
        <v>120</v>
      </c>
      <c r="C42" s="119">
        <v>46027</v>
      </c>
      <c r="D42" s="120">
        <v>46191</v>
      </c>
      <c r="E42" s="53" t="s">
        <v>23</v>
      </c>
      <c r="F42" s="53" t="s">
        <v>63</v>
      </c>
      <c r="G42" s="53" t="s">
        <v>123</v>
      </c>
      <c r="H42" s="55"/>
      <c r="I42" s="55"/>
      <c r="J42" s="56">
        <v>-1200</v>
      </c>
      <c r="K42" s="55"/>
      <c r="L42" s="89">
        <f t="shared" si="2"/>
        <v>-1200</v>
      </c>
      <c r="M42" s="91" t="s">
        <v>124</v>
      </c>
      <c r="N42" s="90"/>
      <c r="O42" s="90"/>
      <c r="P42" s="55"/>
    </row>
    <row r="43" s="74" customFormat="1" ht="13">
      <c r="A43" s="54"/>
      <c r="B43" s="54"/>
      <c r="C43" s="104"/>
      <c r="D43" s="105"/>
      <c r="E43" s="106"/>
      <c r="F43" s="121"/>
      <c r="G43" s="118"/>
      <c r="H43" s="55"/>
      <c r="I43" s="55"/>
      <c r="J43" s="55"/>
      <c r="K43" s="55"/>
      <c r="L43" s="89"/>
      <c r="M43" s="92"/>
      <c r="N43" s="92"/>
      <c r="O43" s="90"/>
      <c r="P43" s="55"/>
    </row>
    <row r="44" s="74" customFormat="1" ht="13">
      <c r="A44" s="54"/>
      <c r="B44" s="54"/>
      <c r="C44" s="104"/>
      <c r="D44" s="110"/>
      <c r="E44" s="113"/>
      <c r="F44" s="122"/>
      <c r="G44" s="97"/>
      <c r="H44" s="55"/>
      <c r="I44" s="55"/>
      <c r="J44" s="55"/>
      <c r="K44" s="55"/>
      <c r="L44" s="89"/>
      <c r="M44" s="92"/>
      <c r="N44" s="92"/>
      <c r="O44" s="90"/>
      <c r="P44" s="55"/>
    </row>
    <row r="45" s="74" customFormat="1" ht="13">
      <c r="A45" s="54"/>
      <c r="B45" s="54"/>
      <c r="C45" s="34"/>
      <c r="D45" s="116"/>
      <c r="E45" s="54"/>
      <c r="F45" s="123"/>
      <c r="G45" s="118"/>
      <c r="H45" s="55"/>
      <c r="I45" s="55"/>
      <c r="J45" s="55"/>
      <c r="K45" s="55"/>
      <c r="L45" s="89"/>
      <c r="M45" s="92"/>
      <c r="N45" s="92"/>
      <c r="O45" s="90"/>
      <c r="P45" s="55"/>
    </row>
    <row r="46" s="74" customFormat="1" ht="13">
      <c r="A46" s="54"/>
      <c r="B46" s="54"/>
      <c r="C46" s="34"/>
      <c r="D46" s="116"/>
      <c r="E46" s="53"/>
      <c r="F46" s="53"/>
      <c r="G46" s="124"/>
      <c r="H46" s="55"/>
      <c r="I46" s="55"/>
      <c r="J46" s="55"/>
      <c r="K46" s="55"/>
      <c r="L46" s="89"/>
      <c r="M46" s="92"/>
      <c r="N46" s="92"/>
      <c r="O46" s="90"/>
      <c r="P46" s="55"/>
    </row>
    <row r="47" s="74" customFormat="1" ht="13">
      <c r="A47" s="54"/>
      <c r="B47" s="54"/>
      <c r="C47" s="34"/>
      <c r="D47" s="34"/>
      <c r="E47" s="53"/>
      <c r="F47" s="53"/>
      <c r="G47" s="124"/>
      <c r="H47" s="55"/>
      <c r="I47" s="55"/>
      <c r="J47" s="55"/>
      <c r="K47" s="55"/>
      <c r="L47" s="89"/>
      <c r="M47" s="94"/>
      <c r="N47" s="90"/>
      <c r="O47" s="90"/>
      <c r="P47" s="55"/>
    </row>
    <row r="48">
      <c r="A48" s="54"/>
      <c r="B48" s="54"/>
      <c r="C48" s="34"/>
      <c r="D48" s="34"/>
      <c r="E48" s="54"/>
      <c r="F48" s="54"/>
      <c r="G48" s="53"/>
      <c r="H48" s="55"/>
      <c r="I48" s="55"/>
      <c r="J48" s="55"/>
      <c r="K48" s="55"/>
      <c r="L48" s="89"/>
      <c r="M48" s="90"/>
      <c r="N48" s="90"/>
      <c r="O48" s="90"/>
      <c r="P48" s="57"/>
    </row>
    <row r="49">
      <c r="A49" s="54"/>
      <c r="B49" s="54"/>
      <c r="C49" s="34"/>
      <c r="D49" s="34"/>
      <c r="E49" s="54"/>
      <c r="F49" s="53"/>
      <c r="G49" s="53"/>
      <c r="H49" s="55"/>
      <c r="I49" s="55"/>
      <c r="J49" s="55"/>
      <c r="K49" s="55"/>
      <c r="L49" s="89"/>
      <c r="M49" s="125"/>
      <c r="N49" s="90"/>
      <c r="O49" s="90"/>
      <c r="P49" s="57"/>
    </row>
    <row r="50">
      <c r="A50" s="107"/>
      <c r="B50" s="107"/>
      <c r="C50" s="100"/>
      <c r="D50" s="100"/>
      <c r="E50" s="126"/>
      <c r="F50" s="126"/>
      <c r="G50" s="126"/>
      <c r="H50" s="57"/>
      <c r="I50" s="57"/>
      <c r="J50" s="57"/>
      <c r="K50" s="57"/>
      <c r="L50" s="89"/>
      <c r="M50" s="127"/>
      <c r="N50" s="128"/>
      <c r="O50" s="128"/>
      <c r="P50" s="66"/>
    </row>
    <row r="51">
      <c r="A51" s="54"/>
      <c r="B51" s="54"/>
      <c r="C51" s="129"/>
      <c r="D51" s="34"/>
      <c r="E51" s="54"/>
      <c r="F51" s="54"/>
      <c r="G51" s="118"/>
      <c r="H51" s="130"/>
      <c r="I51" s="55"/>
      <c r="J51" s="55"/>
      <c r="K51" s="55"/>
      <c r="L51" s="131"/>
      <c r="M51" s="132"/>
      <c r="N51" s="132"/>
      <c r="O51" s="132"/>
      <c r="P51" s="130"/>
    </row>
    <row r="52">
      <c r="A52" s="54"/>
      <c r="B52" s="54"/>
      <c r="C52" s="129"/>
      <c r="D52" s="34"/>
      <c r="E52" s="54"/>
      <c r="F52" s="133"/>
      <c r="G52" s="118"/>
      <c r="H52" s="55"/>
      <c r="I52" s="55"/>
      <c r="J52" s="55"/>
      <c r="K52" s="55"/>
      <c r="L52" s="131"/>
      <c r="M52" s="132"/>
      <c r="N52" s="132"/>
      <c r="O52" s="132"/>
      <c r="P52" s="55"/>
    </row>
    <row r="53">
      <c r="A53" s="107"/>
      <c r="B53" s="107"/>
      <c r="C53" s="134"/>
      <c r="D53" s="100"/>
      <c r="E53" s="126"/>
      <c r="F53" s="126"/>
      <c r="G53" s="126"/>
      <c r="H53" s="55"/>
      <c r="I53" s="55"/>
      <c r="J53" s="55"/>
      <c r="K53" s="55"/>
      <c r="L53" s="131"/>
      <c r="M53" s="135"/>
      <c r="N53" s="135"/>
      <c r="O53" s="135"/>
      <c r="P53" s="63"/>
    </row>
    <row r="54">
      <c r="A54" s="107"/>
      <c r="B54" s="107"/>
      <c r="C54" s="134"/>
      <c r="D54" s="100"/>
      <c r="E54" s="126"/>
      <c r="F54" s="121"/>
      <c r="G54" s="121"/>
      <c r="H54" s="55"/>
      <c r="I54" s="55"/>
      <c r="J54" s="55"/>
      <c r="K54" s="55"/>
      <c r="L54" s="131"/>
      <c r="M54" s="135"/>
      <c r="N54" s="135"/>
      <c r="O54" s="135"/>
      <c r="P54" s="63"/>
    </row>
    <row r="55">
      <c r="A55" s="107"/>
      <c r="B55" s="107"/>
      <c r="C55" s="100"/>
      <c r="D55" s="100"/>
      <c r="E55" s="126"/>
      <c r="F55" s="126"/>
      <c r="G55" s="126"/>
      <c r="H55" s="57"/>
      <c r="I55" s="57"/>
      <c r="J55" s="57"/>
      <c r="K55" s="57"/>
      <c r="L55" s="89"/>
      <c r="M55" s="136"/>
      <c r="N55" s="137"/>
      <c r="O55" s="137"/>
      <c r="P55" s="66"/>
    </row>
    <row r="56">
      <c r="A56" s="107"/>
      <c r="B56" s="107"/>
      <c r="C56" s="100"/>
      <c r="D56" s="100"/>
      <c r="E56" s="126"/>
      <c r="F56" s="126"/>
      <c r="G56" s="126"/>
      <c r="H56" s="57"/>
      <c r="I56" s="57"/>
      <c r="J56" s="57"/>
      <c r="K56" s="57"/>
      <c r="L56" s="89"/>
      <c r="M56" s="136"/>
      <c r="N56" s="137"/>
      <c r="O56" s="137"/>
      <c r="P56" s="66"/>
    </row>
    <row r="57">
      <c r="A57" s="107"/>
      <c r="B57" s="107"/>
      <c r="C57" s="100"/>
      <c r="D57" s="100"/>
      <c r="E57" s="126"/>
      <c r="F57" s="126"/>
      <c r="G57" s="126"/>
      <c r="H57" s="57"/>
      <c r="I57" s="57"/>
      <c r="J57" s="57"/>
      <c r="K57" s="57"/>
      <c r="L57" s="89"/>
      <c r="M57" s="136"/>
      <c r="N57" s="137"/>
      <c r="O57" s="137"/>
      <c r="P57" s="66"/>
    </row>
    <row r="58">
      <c r="A58" s="107"/>
      <c r="B58" s="107"/>
      <c r="C58" s="100"/>
      <c r="D58" s="100"/>
      <c r="E58" s="107"/>
      <c r="F58" s="126"/>
      <c r="G58" s="126"/>
      <c r="H58" s="55"/>
      <c r="I58" s="55"/>
      <c r="J58" s="55"/>
      <c r="K58" s="55"/>
      <c r="L58" s="89"/>
      <c r="M58" s="136"/>
      <c r="N58" s="137"/>
      <c r="O58" s="137"/>
      <c r="P58" s="66"/>
    </row>
    <row r="59">
      <c r="A59" s="107"/>
      <c r="B59" s="107"/>
      <c r="C59" s="100"/>
      <c r="D59" s="100"/>
      <c r="E59" s="107"/>
      <c r="F59" s="126"/>
      <c r="G59" s="126"/>
      <c r="H59" s="55"/>
      <c r="I59" s="55"/>
      <c r="J59" s="55"/>
      <c r="K59" s="55"/>
      <c r="L59" s="89"/>
      <c r="M59" s="136"/>
      <c r="N59" s="137"/>
      <c r="O59" s="137"/>
      <c r="P59" s="66"/>
    </row>
    <row r="60">
      <c r="A60" s="107"/>
      <c r="B60" s="107"/>
      <c r="C60" s="100"/>
      <c r="D60" s="100"/>
      <c r="E60" s="107"/>
      <c r="F60" s="126"/>
      <c r="G60" s="126"/>
      <c r="H60" s="55"/>
      <c r="I60" s="55"/>
      <c r="J60" s="55"/>
      <c r="K60" s="55"/>
      <c r="L60" s="89"/>
      <c r="M60" s="136"/>
      <c r="N60" s="137"/>
      <c r="O60" s="137"/>
      <c r="P60" s="66"/>
    </row>
    <row r="61">
      <c r="A61" s="67"/>
      <c r="B61" s="67"/>
      <c r="C61" s="68"/>
      <c r="D61" s="69"/>
      <c r="E61" s="70"/>
      <c r="F61" s="70"/>
      <c r="G61" s="71"/>
      <c r="H61" s="138">
        <f>SUM(H29:H60)</f>
        <v>67336.969999999987</v>
      </c>
      <c r="I61" s="139">
        <f>SUM(I29:I60)</f>
        <v>1893.8600000000001</v>
      </c>
      <c r="J61" s="139">
        <f>SUM(J29:J60)</f>
        <v>58800</v>
      </c>
      <c r="K61" s="139">
        <f>SUM(K29:K60)</f>
        <v>7756.2900000000009</v>
      </c>
      <c r="L61" s="138">
        <f>SUM(H60:K61)</f>
        <v>135787.12</v>
      </c>
      <c r="M61" s="140"/>
      <c r="N61" s="141"/>
      <c r="O61" s="141"/>
      <c r="P61" s="142"/>
    </row>
    <row r="62">
      <c r="A62" s="74"/>
      <c r="B62" s="74"/>
      <c r="C62" s="75"/>
      <c r="D62" s="76"/>
      <c r="E62" s="74"/>
      <c r="F62" s="74"/>
      <c r="G62" s="74"/>
      <c r="H62" s="143" t="s">
        <v>125</v>
      </c>
      <c r="I62" s="144"/>
      <c r="J62" s="144"/>
      <c r="K62" s="144"/>
      <c r="L62" s="145">
        <f>L28-L61</f>
        <v>-30787.119999999995</v>
      </c>
      <c r="M62" s="146"/>
      <c r="N62" s="74"/>
      <c r="O62" s="74"/>
      <c r="P62" s="74"/>
    </row>
    <row r="64" ht="18" customHeight="1">
      <c r="A64" s="147" t="s">
        <v>126</v>
      </c>
      <c r="B64" s="148"/>
      <c r="C64" s="148"/>
      <c r="D64" s="148"/>
      <c r="E64" s="148"/>
    </row>
    <row r="65">
      <c r="A65" s="16" t="s">
        <v>127</v>
      </c>
      <c r="B65" s="16" t="s">
        <v>128</v>
      </c>
      <c r="C65" s="16" t="s">
        <v>129</v>
      </c>
      <c r="D65" s="149" t="s">
        <v>130</v>
      </c>
      <c r="E65" s="31"/>
    </row>
    <row r="66">
      <c r="A66" s="150"/>
      <c r="B66" s="150"/>
      <c r="C66" s="150"/>
      <c r="D66" s="151"/>
      <c r="E66" s="152"/>
    </row>
    <row r="67" s="32" customFormat="1">
      <c r="A67" s="153"/>
      <c r="B67" s="154">
        <v>45748</v>
      </c>
      <c r="C67" s="155"/>
      <c r="D67" s="156"/>
      <c r="E67" s="157">
        <f t="shared" ref="E67:E78" si="3">E66-D67</f>
        <v>0</v>
      </c>
      <c r="F67"/>
      <c r="G67"/>
      <c r="H67"/>
      <c r="I67"/>
      <c r="J67"/>
      <c r="K67"/>
      <c r="L67"/>
      <c r="M67"/>
      <c r="N67"/>
      <c r="O67"/>
      <c r="P67"/>
    </row>
    <row r="68" s="32" customFormat="1">
      <c r="A68" s="153"/>
      <c r="B68" s="158">
        <v>45778</v>
      </c>
      <c r="C68" s="159"/>
      <c r="D68" s="156"/>
      <c r="E68" s="157">
        <f t="shared" si="3"/>
        <v>0</v>
      </c>
      <c r="F68"/>
      <c r="G68"/>
      <c r="H68"/>
      <c r="I68"/>
      <c r="J68"/>
      <c r="K68"/>
      <c r="L68"/>
      <c r="M68"/>
      <c r="N68"/>
      <c r="O68"/>
      <c r="P68"/>
    </row>
    <row r="69" s="32" customFormat="1">
      <c r="A69" s="153"/>
      <c r="B69" s="154">
        <v>45809</v>
      </c>
      <c r="C69" s="159"/>
      <c r="D69" s="156"/>
      <c r="E69" s="157">
        <f t="shared" si="3"/>
        <v>0</v>
      </c>
      <c r="F69"/>
      <c r="G69"/>
      <c r="H69"/>
      <c r="I69"/>
      <c r="J69"/>
      <c r="K69"/>
      <c r="L69"/>
      <c r="M69"/>
      <c r="N69"/>
      <c r="O69"/>
      <c r="P69"/>
    </row>
    <row r="70" s="32" customFormat="1">
      <c r="A70" s="153"/>
      <c r="B70" s="158">
        <v>45839</v>
      </c>
      <c r="C70" s="159"/>
      <c r="D70" s="156"/>
      <c r="E70" s="157">
        <f t="shared" si="3"/>
        <v>0</v>
      </c>
      <c r="F70"/>
      <c r="G70"/>
      <c r="H70"/>
      <c r="I70"/>
      <c r="J70"/>
      <c r="K70"/>
      <c r="L70"/>
      <c r="M70"/>
      <c r="N70"/>
      <c r="O70"/>
      <c r="P70"/>
    </row>
    <row r="71" s="32" customFormat="1">
      <c r="A71" s="153"/>
      <c r="B71" s="154">
        <v>45870</v>
      </c>
      <c r="C71" s="159"/>
      <c r="D71" s="156"/>
      <c r="E71" s="157">
        <f t="shared" si="3"/>
        <v>0</v>
      </c>
      <c r="F71"/>
      <c r="G71"/>
      <c r="H71"/>
      <c r="I71"/>
      <c r="J71"/>
      <c r="K71"/>
      <c r="L71"/>
      <c r="M71"/>
      <c r="N71"/>
      <c r="O71"/>
      <c r="P71"/>
    </row>
    <row r="72" s="32" customFormat="1">
      <c r="A72" s="153"/>
      <c r="B72" s="158">
        <v>45901</v>
      </c>
      <c r="C72" s="159"/>
      <c r="D72" s="156"/>
      <c r="E72" s="157">
        <f t="shared" si="3"/>
        <v>0</v>
      </c>
      <c r="F72"/>
      <c r="G72"/>
      <c r="H72"/>
      <c r="I72"/>
      <c r="J72"/>
      <c r="K72"/>
      <c r="L72"/>
      <c r="M72"/>
      <c r="N72"/>
      <c r="O72"/>
      <c r="P72"/>
    </row>
    <row r="73" s="32" customFormat="1">
      <c r="A73" s="153"/>
      <c r="B73" s="154">
        <v>45931</v>
      </c>
      <c r="C73" s="159"/>
      <c r="D73" s="156"/>
      <c r="E73" s="157">
        <f t="shared" si="3"/>
        <v>0</v>
      </c>
      <c r="F73"/>
      <c r="G73"/>
      <c r="H73"/>
      <c r="I73"/>
      <c r="J73"/>
      <c r="K73"/>
      <c r="L73"/>
      <c r="M73"/>
      <c r="N73"/>
      <c r="O73"/>
      <c r="P73"/>
    </row>
    <row r="74">
      <c r="A74" s="153"/>
      <c r="B74" s="158">
        <v>45962</v>
      </c>
      <c r="C74" s="160"/>
      <c r="D74" s="161"/>
      <c r="E74" s="157">
        <f t="shared" si="3"/>
        <v>0</v>
      </c>
    </row>
    <row r="75">
      <c r="A75" s="153"/>
      <c r="B75" s="154">
        <v>45992</v>
      </c>
      <c r="C75" s="160"/>
      <c r="D75" s="161"/>
      <c r="E75" s="157">
        <f t="shared" si="3"/>
        <v>0</v>
      </c>
    </row>
    <row r="76">
      <c r="A76" s="153"/>
      <c r="B76" s="158">
        <v>46023</v>
      </c>
      <c r="C76" s="160"/>
      <c r="D76" s="161"/>
      <c r="E76" s="157">
        <f t="shared" si="3"/>
        <v>0</v>
      </c>
    </row>
    <row r="77">
      <c r="A77" s="153"/>
      <c r="B77" s="154">
        <v>46054</v>
      </c>
      <c r="C77" s="160"/>
      <c r="D77" s="161"/>
      <c r="E77" s="157">
        <f t="shared" si="3"/>
        <v>0</v>
      </c>
    </row>
    <row r="78">
      <c r="A78" s="153"/>
      <c r="B78" s="158">
        <v>46082</v>
      </c>
      <c r="C78" s="160"/>
      <c r="D78" s="161"/>
      <c r="E78" s="157">
        <f t="shared" si="3"/>
        <v>0</v>
      </c>
    </row>
    <row r="79">
      <c r="A79" s="162" t="s">
        <v>131</v>
      </c>
      <c r="B79" s="163"/>
      <c r="C79" s="164"/>
      <c r="D79" s="165">
        <f>SUM(D67:D78)</f>
        <v>0</v>
      </c>
      <c r="E79" s="165">
        <f>SUM(E67-D79)</f>
        <v>0</v>
      </c>
    </row>
    <row r="80" ht="14.25"/>
    <row r="81" ht="14.25"/>
    <row r="82" ht="17.399999999999999" customHeight="1">
      <c r="A82" s="147" t="s">
        <v>132</v>
      </c>
      <c r="B82" s="148"/>
      <c r="C82" s="148"/>
      <c r="D82" s="148"/>
      <c r="E82" s="148"/>
    </row>
    <row r="83">
      <c r="A83" s="166" t="s">
        <v>133</v>
      </c>
      <c r="B83" s="167" t="s">
        <v>128</v>
      </c>
      <c r="C83" s="167"/>
      <c r="D83" s="168" t="s">
        <v>134</v>
      </c>
      <c r="E83" s="169"/>
    </row>
    <row r="84">
      <c r="A84" s="170"/>
      <c r="B84" s="171"/>
      <c r="C84" s="171"/>
      <c r="D84" s="151"/>
      <c r="E84" s="172">
        <f>'Advances (Locked TAB)'!F16</f>
        <v>0</v>
      </c>
    </row>
    <row r="85" s="32" customFormat="1">
      <c r="A85" s="153"/>
      <c r="B85" s="154">
        <v>45748</v>
      </c>
      <c r="C85" s="155"/>
      <c r="D85" s="156"/>
      <c r="E85" s="157">
        <f t="shared" ref="E85:E96" si="4">E84-D85</f>
        <v>0</v>
      </c>
      <c r="F85"/>
      <c r="G85"/>
      <c r="H85"/>
      <c r="I85"/>
      <c r="J85"/>
      <c r="K85"/>
      <c r="L85"/>
      <c r="M85"/>
      <c r="N85"/>
      <c r="O85"/>
      <c r="P85"/>
    </row>
    <row r="86" s="32" customFormat="1">
      <c r="A86" s="153"/>
      <c r="B86" s="158">
        <v>45778</v>
      </c>
      <c r="C86" s="159"/>
      <c r="D86" s="156"/>
      <c r="E86" s="157">
        <f t="shared" si="4"/>
        <v>0</v>
      </c>
      <c r="F86"/>
      <c r="G86"/>
      <c r="H86"/>
      <c r="I86"/>
      <c r="J86"/>
      <c r="K86"/>
      <c r="L86"/>
      <c r="M86"/>
      <c r="N86"/>
      <c r="O86"/>
      <c r="P86"/>
    </row>
    <row r="87" s="32" customFormat="1">
      <c r="A87" s="153"/>
      <c r="B87" s="154">
        <v>45809</v>
      </c>
      <c r="C87" s="159"/>
      <c r="D87" s="156"/>
      <c r="E87" s="157">
        <f t="shared" si="4"/>
        <v>0</v>
      </c>
      <c r="F87"/>
      <c r="G87"/>
      <c r="H87"/>
      <c r="I87"/>
      <c r="J87"/>
      <c r="K87"/>
      <c r="L87"/>
      <c r="M87"/>
      <c r="N87"/>
      <c r="O87"/>
      <c r="P87"/>
    </row>
    <row r="88" s="32" customFormat="1">
      <c r="A88" s="153"/>
      <c r="B88" s="158">
        <v>45839</v>
      </c>
      <c r="C88" s="159"/>
      <c r="D88" s="156"/>
      <c r="E88" s="157">
        <f t="shared" si="4"/>
        <v>0</v>
      </c>
      <c r="F88"/>
      <c r="G88"/>
      <c r="H88"/>
      <c r="I88"/>
      <c r="J88"/>
      <c r="K88"/>
      <c r="L88"/>
      <c r="M88"/>
      <c r="N88"/>
      <c r="O88"/>
      <c r="P88"/>
    </row>
    <row r="89" s="32" customFormat="1">
      <c r="A89" s="153"/>
      <c r="B89" s="154">
        <v>45870</v>
      </c>
      <c r="C89" s="159"/>
      <c r="D89" s="156"/>
      <c r="E89" s="157">
        <f t="shared" si="4"/>
        <v>0</v>
      </c>
      <c r="F89"/>
      <c r="G89"/>
      <c r="H89"/>
      <c r="I89"/>
      <c r="J89"/>
      <c r="K89"/>
      <c r="L89"/>
      <c r="M89"/>
      <c r="N89"/>
      <c r="O89"/>
      <c r="P89"/>
    </row>
    <row r="90" s="32" customFormat="1">
      <c r="A90" s="153"/>
      <c r="B90" s="158">
        <v>45901</v>
      </c>
      <c r="C90" s="159"/>
      <c r="D90" s="156"/>
      <c r="E90" s="157">
        <f t="shared" si="4"/>
        <v>0</v>
      </c>
      <c r="F90"/>
      <c r="G90"/>
      <c r="H90"/>
      <c r="I90"/>
      <c r="J90"/>
      <c r="K90"/>
      <c r="L90"/>
      <c r="M90"/>
      <c r="N90"/>
      <c r="O90"/>
      <c r="P90"/>
    </row>
    <row r="91" s="32" customFormat="1">
      <c r="A91" s="153"/>
      <c r="B91" s="154">
        <v>45931</v>
      </c>
      <c r="C91" s="159"/>
      <c r="D91" s="156"/>
      <c r="E91" s="157">
        <f t="shared" si="4"/>
        <v>0</v>
      </c>
      <c r="F91"/>
      <c r="G91"/>
      <c r="H91"/>
      <c r="I91"/>
      <c r="J91"/>
      <c r="K91"/>
      <c r="L91"/>
      <c r="M91"/>
      <c r="N91"/>
      <c r="O91"/>
      <c r="P91"/>
    </row>
    <row r="92">
      <c r="A92" s="153"/>
      <c r="B92" s="158">
        <v>45962</v>
      </c>
      <c r="C92" s="160"/>
      <c r="D92" s="161"/>
      <c r="E92" s="157">
        <f t="shared" si="4"/>
        <v>0</v>
      </c>
    </row>
    <row r="93">
      <c r="A93" s="153"/>
      <c r="B93" s="154">
        <v>45992</v>
      </c>
      <c r="C93" s="160"/>
      <c r="D93" s="161"/>
      <c r="E93" s="157">
        <f t="shared" si="4"/>
        <v>0</v>
      </c>
    </row>
    <row r="94">
      <c r="A94" s="153"/>
      <c r="B94" s="158">
        <v>46023</v>
      </c>
      <c r="C94" s="160"/>
      <c r="D94" s="161"/>
      <c r="E94" s="157">
        <f t="shared" si="4"/>
        <v>0</v>
      </c>
    </row>
    <row r="95">
      <c r="A95" s="153"/>
      <c r="B95" s="154">
        <v>46054</v>
      </c>
      <c r="C95" s="160"/>
      <c r="D95" s="161"/>
      <c r="E95" s="157">
        <f t="shared" si="4"/>
        <v>0</v>
      </c>
    </row>
    <row r="96">
      <c r="A96" s="153"/>
      <c r="B96" s="158">
        <v>46082</v>
      </c>
      <c r="C96" s="160"/>
      <c r="D96" s="161"/>
      <c r="E96" s="157">
        <f t="shared" si="4"/>
        <v>0</v>
      </c>
    </row>
    <row r="97">
      <c r="A97" s="162" t="s">
        <v>131</v>
      </c>
      <c r="B97" s="163"/>
      <c r="C97" s="164"/>
      <c r="D97" s="165">
        <f>SUM(D85:D96)</f>
        <v>0</v>
      </c>
      <c r="E97" s="165">
        <f>SUM(E84-D97)</f>
        <v>0</v>
      </c>
    </row>
  </sheetData>
  <mergeCells count="24">
    <mergeCell ref="A1:B1"/>
    <mergeCell ref="F1:G1"/>
    <mergeCell ref="M1:O1"/>
    <mergeCell ref="H3:K3"/>
    <mergeCell ref="H4:K4"/>
    <mergeCell ref="H23:K23"/>
    <mergeCell ref="A25:B25"/>
    <mergeCell ref="F25:G25"/>
    <mergeCell ref="M25:O25"/>
    <mergeCell ref="H27:K27"/>
    <mergeCell ref="H28:K28"/>
    <mergeCell ref="H62:K62"/>
    <mergeCell ref="A64:E64"/>
    <mergeCell ref="A65:A66"/>
    <mergeCell ref="B65:B66"/>
    <mergeCell ref="C65:C66"/>
    <mergeCell ref="D65:D66"/>
    <mergeCell ref="A79:C79"/>
    <mergeCell ref="A82:E82"/>
    <mergeCell ref="A83:A84"/>
    <mergeCell ref="B83:B84"/>
    <mergeCell ref="C83:C84"/>
    <mergeCell ref="D83:D84"/>
    <mergeCell ref="A97:C97"/>
  </mergeCells>
  <printOptions headings="0" gridLines="0"/>
  <pageMargins left="0.25" right="0.25" top="0.5" bottom="0.5" header="0.29999999999999999" footer="0.29999999999999999"/>
  <pageSetup paperSize="5" scale="45" fitToWidth="1" fitToHeight="1" pageOrder="downThenOver" orientation="landscape" usePrinterDefaults="1" blackAndWhite="0" draft="0" cellComments="none" useFirstPageNumber="0" errors="displayed" horizontalDpi="600" verticalDpi="0" copies="1"/>
  <headerFooter/>
  <legacyDrawing r:id="rId3"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EE001E-00F7-4C22-B436-007D00DE0052}" type="list" allowBlank="1" errorStyle="stop" imeMode="noControl" operator="between" showDropDown="0" showErrorMessage="1" showInputMessage="1">
          <x14:formula1>
            <xm:f>"Skills Development, Target Wage Subsidy, Self Employment, JCP, Group Training"</xm:f>
          </x14:formula1>
          <xm:sqref>E1 E91:E1048576 E5:E22 E73:E74 E25:E55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30" workbookViewId="0">
      <selection activeCell="D4" activeCellId="0" sqref="D4"/>
    </sheetView>
  </sheetViews>
  <sheetFormatPr defaultRowHeight="14.5"/>
  <cols>
    <col bestFit="1" customWidth="1" min="1" max="1" width="19.453125"/>
    <col bestFit="1" customWidth="1" min="2" max="2" width="15.08984375"/>
    <col bestFit="1" customWidth="1" min="3" max="3" width="10.453125"/>
    <col customWidth="1" min="4" max="6" width="12.453125"/>
    <col bestFit="1" customWidth="1" min="7" max="7" width="13.54296875"/>
  </cols>
  <sheetData>
    <row r="1">
      <c r="A1" s="173" t="s">
        <v>135</v>
      </c>
      <c r="B1" s="173" t="s">
        <v>136</v>
      </c>
      <c r="C1" s="173" t="s">
        <v>137</v>
      </c>
      <c r="D1" s="174" t="s">
        <v>138</v>
      </c>
      <c r="E1" s="174"/>
      <c r="F1" s="174"/>
      <c r="G1" s="173" t="s">
        <v>139</v>
      </c>
    </row>
    <row r="2" ht="33" customHeight="1">
      <c r="A2" s="173"/>
      <c r="B2" s="173"/>
      <c r="C2" s="173"/>
      <c r="D2" s="174" t="s">
        <v>140</v>
      </c>
      <c r="E2" s="174" t="s">
        <v>141</v>
      </c>
      <c r="F2" s="174" t="s">
        <v>142</v>
      </c>
      <c r="G2" s="173"/>
    </row>
    <row r="3">
      <c r="A3" s="175" t="s">
        <v>143</v>
      </c>
      <c r="B3" s="176" t="s">
        <v>144</v>
      </c>
      <c r="C3" s="177"/>
      <c r="D3" s="178"/>
      <c r="E3" s="177"/>
      <c r="F3" s="177"/>
      <c r="G3" s="177"/>
    </row>
    <row r="4">
      <c r="A4" s="133" t="s">
        <v>145</v>
      </c>
      <c r="B4" s="179"/>
      <c r="C4" s="180">
        <v>150000</v>
      </c>
      <c r="D4" s="180">
        <v>30000</v>
      </c>
      <c r="E4" s="180"/>
      <c r="F4" s="180"/>
      <c r="G4" s="180">
        <f t="shared" ref="G4:G15" si="5">SUM(C4:F4)</f>
        <v>180000</v>
      </c>
    </row>
    <row r="5">
      <c r="A5" s="133" t="s">
        <v>146</v>
      </c>
      <c r="B5" s="179"/>
      <c r="C5" s="180"/>
      <c r="D5" s="180"/>
      <c r="E5" s="180"/>
      <c r="F5" s="180"/>
      <c r="G5" s="180">
        <f t="shared" si="5"/>
        <v>0</v>
      </c>
    </row>
    <row r="6">
      <c r="A6" s="133" t="s">
        <v>147</v>
      </c>
      <c r="B6" s="179"/>
      <c r="C6" s="180"/>
      <c r="D6" s="180"/>
      <c r="E6" s="180"/>
      <c r="F6" s="180"/>
      <c r="G6" s="180">
        <f t="shared" si="5"/>
        <v>0</v>
      </c>
    </row>
    <row r="7">
      <c r="A7" s="133" t="s">
        <v>148</v>
      </c>
      <c r="B7" s="179"/>
      <c r="C7" s="180"/>
      <c r="D7" s="180"/>
      <c r="E7" s="180"/>
      <c r="F7" s="180"/>
      <c r="G7" s="180">
        <f t="shared" si="5"/>
        <v>0</v>
      </c>
    </row>
    <row r="8">
      <c r="A8" s="133" t="s">
        <v>149</v>
      </c>
      <c r="B8" s="179"/>
      <c r="C8" s="180"/>
      <c r="D8" s="180"/>
      <c r="E8" s="180"/>
      <c r="F8" s="180"/>
      <c r="G8" s="180">
        <f t="shared" si="5"/>
        <v>0</v>
      </c>
    </row>
    <row r="9">
      <c r="A9" s="133" t="s">
        <v>150</v>
      </c>
      <c r="B9" s="179"/>
      <c r="C9" s="180"/>
      <c r="D9" s="180"/>
      <c r="E9" s="180"/>
      <c r="F9" s="180"/>
      <c r="G9" s="180">
        <f t="shared" si="5"/>
        <v>0</v>
      </c>
    </row>
    <row r="10">
      <c r="A10" s="133" t="s">
        <v>151</v>
      </c>
      <c r="B10" s="179"/>
      <c r="C10" s="180"/>
      <c r="D10" s="180"/>
      <c r="E10" s="180"/>
      <c r="F10" s="180"/>
      <c r="G10" s="180">
        <f t="shared" si="5"/>
        <v>0</v>
      </c>
    </row>
    <row r="11">
      <c r="A11" s="133" t="s">
        <v>152</v>
      </c>
      <c r="B11" s="179"/>
      <c r="C11" s="180"/>
      <c r="D11" s="180"/>
      <c r="E11" s="180"/>
      <c r="F11" s="180"/>
      <c r="G11" s="180">
        <f t="shared" si="5"/>
        <v>0</v>
      </c>
    </row>
    <row r="12">
      <c r="A12" s="133" t="s">
        <v>153</v>
      </c>
      <c r="B12" s="179"/>
      <c r="C12" s="180"/>
      <c r="D12" s="180"/>
      <c r="E12" s="180"/>
      <c r="F12" s="180"/>
      <c r="G12" s="180">
        <f t="shared" si="5"/>
        <v>0</v>
      </c>
    </row>
    <row r="13">
      <c r="A13" s="133" t="s">
        <v>154</v>
      </c>
      <c r="B13" s="179"/>
      <c r="C13" s="180"/>
      <c r="D13" s="180"/>
      <c r="E13" s="180"/>
      <c r="F13" s="180"/>
      <c r="G13" s="180">
        <f t="shared" si="5"/>
        <v>0</v>
      </c>
    </row>
    <row r="14">
      <c r="A14" s="133" t="s">
        <v>155</v>
      </c>
      <c r="B14" s="179"/>
      <c r="C14" s="180"/>
      <c r="D14" s="180"/>
      <c r="E14" s="180"/>
      <c r="F14" s="180"/>
      <c r="G14" s="180">
        <f t="shared" si="5"/>
        <v>0</v>
      </c>
    </row>
    <row r="15">
      <c r="A15" s="133" t="s">
        <v>156</v>
      </c>
      <c r="B15" s="179"/>
      <c r="C15" s="180"/>
      <c r="D15" s="180"/>
      <c r="E15" s="180"/>
      <c r="F15" s="180"/>
      <c r="G15" s="180">
        <f t="shared" si="5"/>
        <v>0</v>
      </c>
    </row>
    <row r="16">
      <c r="A16" s="133"/>
      <c r="B16" s="181"/>
      <c r="C16" s="182">
        <f t="shared" ref="C16:F16" si="6">SUM(C3:C15)</f>
        <v>150000</v>
      </c>
      <c r="D16" s="182">
        <f t="shared" si="6"/>
        <v>30000</v>
      </c>
      <c r="E16" s="182">
        <f>SUM(E3:E15)</f>
        <v>0</v>
      </c>
      <c r="F16" s="182">
        <f t="shared" si="6"/>
        <v>0</v>
      </c>
      <c r="G16" s="180">
        <f>G15+C16+D16+E16+F16</f>
        <v>180000</v>
      </c>
    </row>
    <row r="17">
      <c r="A17" s="133"/>
      <c r="B17" s="181"/>
      <c r="C17" s="183">
        <f>SUM(C16:F16)</f>
        <v>180000</v>
      </c>
      <c r="D17" s="183"/>
      <c r="E17" s="183"/>
      <c r="F17" s="183"/>
      <c r="G17" s="133"/>
    </row>
  </sheetData>
  <mergeCells count="6">
    <mergeCell ref="A1:A2"/>
    <mergeCell ref="G1:G2"/>
    <mergeCell ref="C17:F17"/>
    <mergeCell ref="D1:F1"/>
    <mergeCell ref="C1:C2"/>
    <mergeCell ref="B1:B2"/>
  </mergeCells>
  <printOptions headings="0" gridLines="0"/>
  <pageMargins left="0.25" right="0.25" top="0.5" bottom="0.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2BF0CAA6E74E4185253BE0451826C8" ma:contentTypeVersion="14" ma:contentTypeDescription="Create a new document." ma:contentTypeScope="" ma:versionID="fa57f4ca18ea88b38107f4c24f8cdb4e">
  <xsd:schema xmlns:xsd="http://www.w3.org/2001/XMLSchema" xmlns:xs="http://www.w3.org/2001/XMLSchema" xmlns:p="http://schemas.microsoft.com/office/2006/metadata/properties" xmlns:ns2="2ce331cd-911c-49dc-ad11-a128166cb055" xmlns:ns3="a5d83198-6f12-4e36-ab6c-c0620ad6e33d" targetNamespace="http://schemas.microsoft.com/office/2006/metadata/properties" ma:root="true" ma:fieldsID="8a0382e7bbeecfcf4c83d5ad6e8a9025" ns2:_="" ns3:_="">
    <xsd:import namespace="2ce331cd-911c-49dc-ad11-a128166cb055"/>
    <xsd:import namespace="a5d83198-6f12-4e36-ab6c-c0620ad6e3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331cd-911c-49dc-ad11-a128166cb0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17cf7b-b9ea-4ec2-94d1-1009a1c16b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83198-6f12-4e36-ab6c-c0620ad6e33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4306ab-6d28-4df1-a4a9-27efde6deea8}" ma:internalName="TaxCatchAll" ma:showField="CatchAllData" ma:web="a5d83198-6f12-4e36-ab6c-c0620ad6e3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d83198-6f12-4e36-ab6c-c0620ad6e33d" xsi:nil="true"/>
    <lcf76f155ced4ddcb4097134ff3c332f xmlns="2ce331cd-911c-49dc-ad11-a128166cb0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E2D94D-10E4-458B-96A3-670353531D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0486DD-D729-460D-AD0F-63CC813111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e331cd-911c-49dc-ad11-a128166cb055"/>
    <ds:schemaRef ds:uri="a5d83198-6f12-4e36-ab6c-c0620ad6e3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9114B7-4E10-4610-B4E8-B38AA8833A31}">
  <ds:schemaRefs>
    <ds:schemaRef ds:uri="http://www.w3.org/XML/1998/namespace"/>
    <ds:schemaRef ds:uri="http://schemas.microsoft.com/office/2006/metadata/properties"/>
    <ds:schemaRef ds:uri="http://schemas.microsoft.com/office/infopath/2007/PartnerControls"/>
    <ds:schemaRef ds:uri="0f69f63d-70fe-4df7-b5b5-83f7076e1647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a5d83198-6f12-4e36-ab6c-c0620ad6e33d"/>
    <ds:schemaRef ds:uri="2ce331cd-911c-49dc-ad11-a128166cb05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Amanda Curtis</cp:lastModifiedBy>
  <cp:revision>25</cp:revision>
  <dcterms:created xsi:type="dcterms:W3CDTF">2018-10-22T20:18:41Z</dcterms:created>
  <dcterms:modified xsi:type="dcterms:W3CDTF">2026-03-26T17:48:26Z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0x0101005C2BF0CAA6E74E4185253BE0451826C8</vt:lpwstr>
  </property>
  <property fmtid="{D5CDD505-2E9C-101B-9397-08002B2CF9AE}" pid="3" name="MediaServiceImageTags">
    <vt:lpwstr/>
  </property>
</Properties>
</file>